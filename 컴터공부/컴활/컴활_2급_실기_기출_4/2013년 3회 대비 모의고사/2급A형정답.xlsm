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360" yWindow="630" windowWidth="15075" windowHeight="11580"/>
  </bookViews>
  <sheets>
    <sheet name="기본작업-1" sheetId="1" r:id="rId1"/>
    <sheet name="기본작업-2" sheetId="10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_xlnm._FilterDatabase" localSheetId="2" hidden="1">'기본작업-3'!#REF!</definedName>
  </definedNames>
  <calcPr calcId="125725"/>
  <pivotCaches>
    <pivotCache cacheId="0" r:id="rId9"/>
  </pivotCaches>
</workbook>
</file>

<file path=xl/calcChain.xml><?xml version="1.0" encoding="utf-8"?>
<calcChain xmlns="http://schemas.openxmlformats.org/spreadsheetml/2006/main">
  <c r="F15" i="4"/>
  <c r="H28" i="6"/>
  <c r="H26"/>
  <c r="H20"/>
  <c r="H14"/>
  <c r="H8"/>
  <c r="D29"/>
  <c r="D27"/>
  <c r="D21"/>
  <c r="D15"/>
  <c r="D9"/>
  <c r="H40" i="4"/>
  <c r="J20"/>
  <c r="J21"/>
  <c r="J22"/>
  <c r="J23"/>
  <c r="J24"/>
  <c r="J25"/>
  <c r="J26"/>
  <c r="J27"/>
  <c r="J19"/>
  <c r="F20"/>
  <c r="F21"/>
  <c r="F22"/>
  <c r="F23"/>
  <c r="F24"/>
  <c r="F25"/>
  <c r="F26"/>
  <c r="F27"/>
  <c r="F19"/>
  <c r="L15"/>
  <c r="G5" i="8" l="1"/>
  <c r="G6"/>
  <c r="G7"/>
  <c r="G8"/>
  <c r="G9"/>
  <c r="G4"/>
  <c r="E5"/>
  <c r="E6"/>
  <c r="E7"/>
  <c r="E8"/>
  <c r="E9"/>
  <c r="E4"/>
  <c r="F5"/>
  <c r="F6"/>
  <c r="F7"/>
  <c r="F8"/>
  <c r="F9"/>
  <c r="F4"/>
  <c r="D5"/>
  <c r="D6"/>
  <c r="D7"/>
  <c r="D8"/>
  <c r="D9"/>
  <c r="D4"/>
  <c r="G15" i="7"/>
  <c r="G14"/>
  <c r="D15"/>
  <c r="E15" s="1"/>
  <c r="D14"/>
  <c r="E14" s="1"/>
  <c r="G5"/>
  <c r="G6"/>
  <c r="G7"/>
  <c r="G8"/>
  <c r="G9"/>
  <c r="G10"/>
  <c r="G11"/>
  <c r="G12"/>
  <c r="G13"/>
  <c r="G4"/>
  <c r="E10"/>
  <c r="E11"/>
  <c r="E4"/>
  <c r="D5"/>
  <c r="E5" s="1"/>
  <c r="D6"/>
  <c r="E6" s="1"/>
  <c r="D7"/>
  <c r="E7" s="1"/>
  <c r="D8"/>
  <c r="E8" s="1"/>
  <c r="D9"/>
  <c r="E9" s="1"/>
  <c r="D10"/>
  <c r="D11"/>
  <c r="D12"/>
  <c r="E12" s="1"/>
  <c r="D13"/>
  <c r="E13" s="1"/>
  <c r="D4"/>
  <c r="H7" i="6" l="1"/>
  <c r="H6"/>
  <c r="H5"/>
  <c r="H10"/>
  <c r="H13"/>
  <c r="H12"/>
  <c r="H11"/>
  <c r="H16"/>
  <c r="H19"/>
  <c r="H18"/>
  <c r="H17"/>
  <c r="H22"/>
  <c r="H25"/>
  <c r="H24"/>
  <c r="H23"/>
  <c r="H4"/>
  <c r="E7"/>
  <c r="E6"/>
  <c r="E5"/>
  <c r="E10"/>
  <c r="E13"/>
  <c r="E12"/>
  <c r="E11"/>
  <c r="E16"/>
  <c r="E19"/>
  <c r="E18"/>
  <c r="E17"/>
  <c r="E22"/>
  <c r="E25"/>
  <c r="E24"/>
  <c r="E23"/>
  <c r="E4"/>
  <c r="I13" i="5" l="1"/>
  <c r="I14"/>
  <c r="I12"/>
  <c r="I10"/>
  <c r="I16"/>
  <c r="I5"/>
  <c r="I7"/>
  <c r="I11"/>
  <c r="I17"/>
  <c r="I6"/>
  <c r="I8"/>
  <c r="I9"/>
  <c r="I15"/>
  <c r="I18"/>
  <c r="I4"/>
  <c r="F32" i="4"/>
  <c r="F33"/>
  <c r="F34"/>
  <c r="F35"/>
  <c r="F36"/>
  <c r="F37"/>
  <c r="F38"/>
  <c r="F39"/>
  <c r="F40"/>
  <c r="F31"/>
  <c r="E32"/>
  <c r="E33"/>
  <c r="E34"/>
  <c r="E35"/>
  <c r="E36"/>
  <c r="E37"/>
  <c r="E38"/>
  <c r="E39"/>
  <c r="E40"/>
  <c r="E31"/>
  <c r="E20" l="1"/>
  <c r="E21"/>
  <c r="E22"/>
  <c r="E23"/>
  <c r="E24"/>
  <c r="E25"/>
  <c r="E26"/>
  <c r="E27"/>
  <c r="E19"/>
  <c r="L4" l="1"/>
  <c r="M4" s="1"/>
  <c r="L5"/>
  <c r="M5" s="1"/>
  <c r="L6"/>
  <c r="M6" s="1"/>
  <c r="L7"/>
  <c r="M7" s="1"/>
  <c r="L8"/>
  <c r="M8" s="1"/>
  <c r="L9"/>
  <c r="M9" s="1"/>
  <c r="L10"/>
  <c r="M10" s="1"/>
  <c r="L11"/>
  <c r="M11" s="1"/>
  <c r="L12"/>
  <c r="M12" s="1"/>
  <c r="L3"/>
  <c r="M3" s="1"/>
  <c r="F14" i="10" l="1"/>
</calcChain>
</file>

<file path=xl/comments1.xml><?xml version="1.0" encoding="utf-8"?>
<comments xmlns="http://schemas.openxmlformats.org/spreadsheetml/2006/main">
  <authors>
    <author>시나공</author>
  </authors>
  <commentList>
    <comment ref="F13" authorId="0">
      <text>
        <r>
          <rPr>
            <b/>
            <sz val="9"/>
            <color indexed="81"/>
            <rFont val="돋움"/>
            <family val="3"/>
            <charset val="129"/>
          </rPr>
          <t>최고사용금액</t>
        </r>
      </text>
    </comment>
  </commentList>
</comments>
</file>

<file path=xl/connections.xml><?xml version="1.0" encoding="utf-8"?>
<connections xmlns="http://schemas.openxmlformats.org/spreadsheetml/2006/main">
  <connection id="1" name="퀴즈점수" type="6" refreshedVersion="3" background="1" saveData="1">
    <textPr codePage="949" sourceFile="\\Grnd-1\kimji\01_작업총모음\02_메일링\2012년이후\04_컴활실기\1203_컴활2급실기\퀴즈점수.txt" tab="0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" name="퀴즈점수3" type="6" refreshedVersion="4" background="1" saveData="1">
    <textPr codePage="949" sourceFile="C:\Users\i\Desktop\퀴즈점수.txt" tab="0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<sst xmlns="http://schemas.openxmlformats.org/spreadsheetml/2006/main" count="422" uniqueCount="287">
  <si>
    <t>성명</t>
    <phoneticPr fontId="3" type="noConversion"/>
  </si>
  <si>
    <t>자격증 교육 신청 현황</t>
    <phoneticPr fontId="1" type="noConversion"/>
  </si>
  <si>
    <t>사용처</t>
    <phoneticPr fontId="1" type="noConversion"/>
  </si>
  <si>
    <t>사용일</t>
    <phoneticPr fontId="1" type="noConversion"/>
  </si>
  <si>
    <t>사원명</t>
    <phoneticPr fontId="1" type="noConversion"/>
  </si>
  <si>
    <t>2013년 8월</t>
    <phoneticPr fontId="1" type="noConversion"/>
  </si>
  <si>
    <t>하지만</t>
    <phoneticPr fontId="1" type="noConversion"/>
  </si>
  <si>
    <t>최고다</t>
    <phoneticPr fontId="1" type="noConversion"/>
  </si>
  <si>
    <t>이대로</t>
    <phoneticPr fontId="1" type="noConversion"/>
  </si>
  <si>
    <t>오지개</t>
    <phoneticPr fontId="1" type="noConversion"/>
  </si>
  <si>
    <t>이튼튼</t>
    <phoneticPr fontId="1" type="noConversion"/>
  </si>
  <si>
    <t>오재룡</t>
    <phoneticPr fontId="1" type="noConversion"/>
  </si>
  <si>
    <t>엄어나</t>
    <phoneticPr fontId="1" type="noConversion"/>
  </si>
  <si>
    <t>전내일</t>
    <phoneticPr fontId="1" type="noConversion"/>
  </si>
  <si>
    <t>고이양</t>
    <phoneticPr fontId="1" type="noConversion"/>
  </si>
  <si>
    <t>변기통</t>
    <phoneticPr fontId="1" type="noConversion"/>
  </si>
  <si>
    <t>점심식비</t>
    <phoneticPr fontId="1" type="noConversion"/>
  </si>
  <si>
    <t>사용내역</t>
    <phoneticPr fontId="1" type="noConversion"/>
  </si>
  <si>
    <t>저녁식비</t>
    <phoneticPr fontId="1" type="noConversion"/>
  </si>
  <si>
    <t>주유소</t>
    <phoneticPr fontId="1" type="noConversion"/>
  </si>
  <si>
    <t>경유</t>
    <phoneticPr fontId="1" type="noConversion"/>
  </si>
  <si>
    <t>일반음식점(한식)</t>
    <phoneticPr fontId="1" type="noConversion"/>
  </si>
  <si>
    <t>일반음식점(중식)</t>
    <phoneticPr fontId="1" type="noConversion"/>
  </si>
  <si>
    <t>일반음식점(일식)</t>
    <phoneticPr fontId="1" type="noConversion"/>
  </si>
  <si>
    <t>결제방법</t>
    <phoneticPr fontId="1" type="noConversion"/>
  </si>
  <si>
    <t>저녁식비</t>
    <phoneticPr fontId="1" type="noConversion"/>
  </si>
  <si>
    <t>휴게음식점</t>
    <phoneticPr fontId="1" type="noConversion"/>
  </si>
  <si>
    <t>휴게음식점</t>
    <phoneticPr fontId="1" type="noConversion"/>
  </si>
  <si>
    <t>점심식비</t>
    <phoneticPr fontId="1" type="noConversion"/>
  </si>
  <si>
    <t>카드</t>
    <phoneticPr fontId="1" type="noConversion"/>
  </si>
  <si>
    <t>현금</t>
    <phoneticPr fontId="1" type="noConversion"/>
  </si>
  <si>
    <t>사용금액</t>
    <phoneticPr fontId="1" type="noConversion"/>
  </si>
  <si>
    <t>합계</t>
    <phoneticPr fontId="1" type="noConversion"/>
  </si>
  <si>
    <t>고객별 핸드폰 사용 현황</t>
  </si>
  <si>
    <t>참가번호</t>
    <phoneticPr fontId="3" type="noConversion"/>
  </si>
  <si>
    <t>[표1]</t>
    <phoneticPr fontId="3" type="noConversion"/>
  </si>
  <si>
    <t>성명</t>
    <phoneticPr fontId="1" type="noConversion"/>
  </si>
  <si>
    <t>학생수</t>
    <phoneticPr fontId="3" type="noConversion"/>
  </si>
  <si>
    <t>성별</t>
    <phoneticPr fontId="3" type="noConversion"/>
  </si>
  <si>
    <t>지역</t>
    <phoneticPr fontId="3" type="noConversion"/>
  </si>
  <si>
    <t>남자</t>
    <phoneticPr fontId="1" type="noConversion"/>
  </si>
  <si>
    <t>여자</t>
    <phoneticPr fontId="1" type="noConversion"/>
  </si>
  <si>
    <t>김예소</t>
    <phoneticPr fontId="1" type="noConversion"/>
  </si>
  <si>
    <t>김상욱</t>
    <phoneticPr fontId="1" type="noConversion"/>
  </si>
  <si>
    <t>임선호</t>
    <phoneticPr fontId="1" type="noConversion"/>
  </si>
  <si>
    <t>최미경</t>
    <phoneticPr fontId="1" type="noConversion"/>
  </si>
  <si>
    <t>황진주</t>
    <phoneticPr fontId="1" type="noConversion"/>
  </si>
  <si>
    <t>김준용</t>
    <phoneticPr fontId="1" type="noConversion"/>
  </si>
  <si>
    <t>이가영</t>
    <phoneticPr fontId="1" type="noConversion"/>
  </si>
  <si>
    <t>고회식</t>
    <phoneticPr fontId="1" type="noConversion"/>
  </si>
  <si>
    <t>박경선</t>
    <phoneticPr fontId="1" type="noConversion"/>
  </si>
  <si>
    <t>강민서</t>
    <phoneticPr fontId="1" type="noConversion"/>
  </si>
  <si>
    <t>안산</t>
    <phoneticPr fontId="1" type="noConversion"/>
  </si>
  <si>
    <t>시흥</t>
    <phoneticPr fontId="1" type="noConversion"/>
  </si>
  <si>
    <t>수원</t>
    <phoneticPr fontId="1" type="noConversion"/>
  </si>
  <si>
    <t>안양</t>
    <phoneticPr fontId="1" type="noConversion"/>
  </si>
  <si>
    <t>광명</t>
    <phoneticPr fontId="1" type="noConversion"/>
  </si>
  <si>
    <t>김*</t>
    <phoneticPr fontId="1" type="noConversion"/>
  </si>
  <si>
    <t>지역</t>
    <phoneticPr fontId="1" type="noConversion"/>
  </si>
  <si>
    <t>[표2]</t>
    <phoneticPr fontId="3" type="noConversion"/>
  </si>
  <si>
    <t>제품코드</t>
    <phoneticPr fontId="3" type="noConversion"/>
  </si>
  <si>
    <t>대리점별 제품 판매 현황</t>
    <phoneticPr fontId="1" type="noConversion"/>
  </si>
  <si>
    <t>A001</t>
    <phoneticPr fontId="1" type="noConversion"/>
  </si>
  <si>
    <t>B002</t>
    <phoneticPr fontId="1" type="noConversion"/>
  </si>
  <si>
    <t>C003</t>
    <phoneticPr fontId="1" type="noConversion"/>
  </si>
  <si>
    <t>판매수량</t>
    <phoneticPr fontId="3" type="noConversion"/>
  </si>
  <si>
    <t>제품가격</t>
    <phoneticPr fontId="3" type="noConversion"/>
  </si>
  <si>
    <t>세금</t>
    <phoneticPr fontId="1" type="noConversion"/>
  </si>
  <si>
    <t>판매이익</t>
    <phoneticPr fontId="1" type="noConversion"/>
  </si>
  <si>
    <t>동부</t>
    <phoneticPr fontId="1" type="noConversion"/>
  </si>
  <si>
    <t>서부</t>
    <phoneticPr fontId="1" type="noConversion"/>
  </si>
  <si>
    <t>남부</t>
    <phoneticPr fontId="1" type="noConversion"/>
  </si>
  <si>
    <t>북부</t>
    <phoneticPr fontId="1" type="noConversion"/>
  </si>
  <si>
    <t>북부</t>
    <phoneticPr fontId="1" type="noConversion"/>
  </si>
  <si>
    <t>동부판매이익</t>
    <phoneticPr fontId="3" type="noConversion"/>
  </si>
  <si>
    <t>대리점</t>
    <phoneticPr fontId="3" type="noConversion"/>
  </si>
  <si>
    <t>회원코드</t>
    <phoneticPr fontId="3" type="noConversion"/>
  </si>
  <si>
    <t>휘트니스센터 회원 현황</t>
    <phoneticPr fontId="1" type="noConversion"/>
  </si>
  <si>
    <t>이용일(개월)</t>
  </si>
  <si>
    <t>&lt;회원등급표&gt;</t>
    <phoneticPr fontId="1" type="noConversion"/>
  </si>
  <si>
    <t>이용일</t>
    <phoneticPr fontId="3" type="noConversion"/>
  </si>
  <si>
    <t>일반</t>
    <phoneticPr fontId="3" type="noConversion"/>
  </si>
  <si>
    <t>골드</t>
    <phoneticPr fontId="3" type="noConversion"/>
  </si>
  <si>
    <t>회원등급</t>
    <phoneticPr fontId="3" type="noConversion"/>
  </si>
  <si>
    <t>등급</t>
    <phoneticPr fontId="3" type="noConversion"/>
  </si>
  <si>
    <t>VIP</t>
    <phoneticPr fontId="1" type="noConversion"/>
  </si>
  <si>
    <t>KJI21</t>
    <phoneticPr fontId="1" type="noConversion"/>
  </si>
  <si>
    <t>MK01</t>
    <phoneticPr fontId="1" type="noConversion"/>
  </si>
  <si>
    <t>YS23</t>
    <phoneticPr fontId="1" type="noConversion"/>
  </si>
  <si>
    <t>ES20</t>
    <phoneticPr fontId="1" type="noConversion"/>
  </si>
  <si>
    <t>SW25</t>
    <phoneticPr fontId="1" type="noConversion"/>
  </si>
  <si>
    <t>SH17</t>
    <phoneticPr fontId="1" type="noConversion"/>
  </si>
  <si>
    <t>GH21</t>
    <phoneticPr fontId="1" type="noConversion"/>
  </si>
  <si>
    <t>AL08</t>
    <phoneticPr fontId="1" type="noConversion"/>
  </si>
  <si>
    <t>SJ04</t>
    <phoneticPr fontId="1" type="noConversion"/>
  </si>
  <si>
    <t>수상</t>
    <phoneticPr fontId="3" type="noConversion"/>
  </si>
  <si>
    <t xml:space="preserve">[표3] </t>
    <phoneticPr fontId="3" type="noConversion"/>
  </si>
  <si>
    <t xml:space="preserve">[표4] </t>
    <phoneticPr fontId="3" type="noConversion"/>
  </si>
  <si>
    <t>철인 3종 경기대회 결과</t>
    <phoneticPr fontId="1" type="noConversion"/>
  </si>
  <si>
    <t>경기도 학생 미술경시대회 결과</t>
    <phoneticPr fontId="1" type="noConversion"/>
  </si>
  <si>
    <t>수영</t>
    <phoneticPr fontId="3" type="noConversion"/>
  </si>
  <si>
    <t>사이클</t>
    <phoneticPr fontId="3" type="noConversion"/>
  </si>
  <si>
    <t>마라톤</t>
    <phoneticPr fontId="3" type="noConversion"/>
  </si>
  <si>
    <t>윤정희</t>
    <phoneticPr fontId="1" type="noConversion"/>
  </si>
  <si>
    <t>김요열</t>
    <phoneticPr fontId="1" type="noConversion"/>
  </si>
  <si>
    <t>김민성</t>
    <phoneticPr fontId="1" type="noConversion"/>
  </si>
  <si>
    <t>최시군</t>
    <phoneticPr fontId="1" type="noConversion"/>
  </si>
  <si>
    <t>고정찬</t>
    <phoneticPr fontId="1" type="noConversion"/>
  </si>
  <si>
    <t>이광용</t>
    <phoneticPr fontId="1" type="noConversion"/>
  </si>
  <si>
    <t>최새벽</t>
    <phoneticPr fontId="1" type="noConversion"/>
  </si>
  <si>
    <t>김정훈</t>
    <phoneticPr fontId="1" type="noConversion"/>
  </si>
  <si>
    <t>고정민</t>
    <phoneticPr fontId="1" type="noConversion"/>
  </si>
  <si>
    <t>합계</t>
    <phoneticPr fontId="3" type="noConversion"/>
  </si>
  <si>
    <t>1차</t>
    <phoneticPr fontId="3" type="noConversion"/>
  </si>
  <si>
    <t>2차</t>
    <phoneticPr fontId="3" type="noConversion"/>
  </si>
  <si>
    <t xml:space="preserve">[표5] </t>
    <phoneticPr fontId="1" type="noConversion"/>
  </si>
  <si>
    <t>중간고사 성적 현황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</si>
  <si>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</si>
  <si>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</si>
  <si>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</si>
  <si>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총점</t>
    <phoneticPr fontId="1" type="noConversion"/>
  </si>
  <si>
    <t>평균</t>
    <phoneticPr fontId="1" type="noConversion"/>
  </si>
  <si>
    <t>영어/수학 우수학생평균</t>
    <phoneticPr fontId="3" type="noConversion"/>
  </si>
  <si>
    <t>조광희</t>
    <phoneticPr fontId="3" type="noConversion"/>
  </si>
  <si>
    <t>이부성</t>
    <phoneticPr fontId="3" type="noConversion"/>
  </si>
  <si>
    <t>최성완</t>
    <phoneticPr fontId="3" type="noConversion"/>
  </si>
  <si>
    <t>서기운</t>
    <phoneticPr fontId="3" type="noConversion"/>
  </si>
  <si>
    <t>김영택</t>
    <phoneticPr fontId="3" type="noConversion"/>
  </si>
  <si>
    <t>조정휴</t>
    <phoneticPr fontId="3" type="noConversion"/>
  </si>
  <si>
    <t>고인숙</t>
    <phoneticPr fontId="3" type="noConversion"/>
  </si>
  <si>
    <t>정은경</t>
    <phoneticPr fontId="3" type="noConversion"/>
  </si>
  <si>
    <t>권지향</t>
    <phoneticPr fontId="3" type="noConversion"/>
  </si>
  <si>
    <t>이진녀</t>
    <phoneticPr fontId="3" type="noConversion"/>
  </si>
  <si>
    <t>도서명</t>
    <phoneticPr fontId="3" type="noConversion"/>
  </si>
  <si>
    <t>워드</t>
    <phoneticPr fontId="1" type="noConversion"/>
  </si>
  <si>
    <t>컴활</t>
    <phoneticPr fontId="1" type="noConversion"/>
  </si>
  <si>
    <t>사무자동화</t>
    <phoneticPr fontId="1" type="noConversion"/>
  </si>
  <si>
    <t>지역</t>
    <phoneticPr fontId="3" type="noConversion"/>
  </si>
  <si>
    <t>서울</t>
    <phoneticPr fontId="1" type="noConversion"/>
  </si>
  <si>
    <t>부산</t>
    <phoneticPr fontId="1" type="noConversion"/>
  </si>
  <si>
    <t>대전</t>
    <phoneticPr fontId="1" type="noConversion"/>
  </si>
  <si>
    <t>강원</t>
    <phoneticPr fontId="1" type="noConversion"/>
  </si>
  <si>
    <t>경기</t>
    <phoneticPr fontId="1" type="noConversion"/>
  </si>
  <si>
    <t>담당자</t>
    <phoneticPr fontId="1" type="noConversion"/>
  </si>
  <si>
    <t>판매가</t>
    <phoneticPr fontId="1" type="noConversion"/>
  </si>
  <si>
    <t>판매량</t>
    <phoneticPr fontId="1" type="noConversion"/>
  </si>
  <si>
    <t>목표량</t>
    <phoneticPr fontId="1" type="noConversion"/>
  </si>
  <si>
    <t>운임비</t>
    <phoneticPr fontId="1" type="noConversion"/>
  </si>
  <si>
    <t>판매이익</t>
    <phoneticPr fontId="1" type="noConversion"/>
  </si>
  <si>
    <t>홍보비</t>
    <phoneticPr fontId="1" type="noConversion"/>
  </si>
  <si>
    <t>최대건</t>
    <phoneticPr fontId="1" type="noConversion"/>
  </si>
  <si>
    <t>심영훈</t>
    <phoneticPr fontId="1" type="noConversion"/>
  </si>
  <si>
    <t>김종모</t>
    <phoneticPr fontId="1" type="noConversion"/>
  </si>
  <si>
    <t>박철근</t>
    <phoneticPr fontId="1" type="noConversion"/>
  </si>
  <si>
    <t>최경민</t>
    <phoneticPr fontId="1" type="noConversion"/>
  </si>
  <si>
    <t>IT 수험서 판매 현황</t>
    <phoneticPr fontId="3" type="noConversion"/>
  </si>
  <si>
    <t>가전제품 판매 현황</t>
    <phoneticPr fontId="1" type="noConversion"/>
  </si>
  <si>
    <t>제품명</t>
    <phoneticPr fontId="1" type="noConversion"/>
  </si>
  <si>
    <t>등급</t>
    <phoneticPr fontId="1" type="noConversion"/>
  </si>
  <si>
    <t>3DTV</t>
    <phoneticPr fontId="1" type="noConversion"/>
  </si>
  <si>
    <t>고급형</t>
    <phoneticPr fontId="1" type="noConversion"/>
  </si>
  <si>
    <t>중급형</t>
    <phoneticPr fontId="1" type="noConversion"/>
  </si>
  <si>
    <t>일반형</t>
    <phoneticPr fontId="1" type="noConversion"/>
  </si>
  <si>
    <t>보급형</t>
    <phoneticPr fontId="1" type="noConversion"/>
  </si>
  <si>
    <t>냉장고</t>
    <phoneticPr fontId="1" type="noConversion"/>
  </si>
  <si>
    <t>세탁기</t>
    <phoneticPr fontId="1" type="noConversion"/>
  </si>
  <si>
    <t>정수기</t>
    <phoneticPr fontId="1" type="noConversion"/>
  </si>
  <si>
    <t>판매가</t>
    <phoneticPr fontId="1" type="noConversion"/>
  </si>
  <si>
    <t>할인율</t>
    <phoneticPr fontId="1" type="noConversion"/>
  </si>
  <si>
    <t>판매량</t>
    <phoneticPr fontId="1" type="noConversion"/>
  </si>
  <si>
    <t>총매출</t>
    <phoneticPr fontId="1" type="noConversion"/>
  </si>
  <si>
    <t>입고량</t>
    <phoneticPr fontId="1" type="noConversion"/>
  </si>
  <si>
    <t>재고량</t>
    <phoneticPr fontId="1" type="noConversion"/>
  </si>
  <si>
    <t>종목명</t>
    <phoneticPr fontId="3" type="noConversion"/>
  </si>
  <si>
    <t>매수가격</t>
    <phoneticPr fontId="3" type="noConversion"/>
  </si>
  <si>
    <t>보유수량</t>
    <phoneticPr fontId="3" type="noConversion"/>
  </si>
  <si>
    <t>매수금액</t>
    <phoneticPr fontId="3" type="noConversion"/>
  </si>
  <si>
    <t>매수수수료</t>
    <phoneticPr fontId="3" type="noConversion"/>
  </si>
  <si>
    <t>현재금액</t>
    <phoneticPr fontId="3" type="noConversion"/>
  </si>
  <si>
    <t>평가손익</t>
    <phoneticPr fontId="3" type="noConversion"/>
  </si>
  <si>
    <t>주가지수(KOSPI) 현황</t>
    <phoneticPr fontId="1" type="noConversion"/>
  </si>
  <si>
    <t>담성전자</t>
    <phoneticPr fontId="1" type="noConversion"/>
  </si>
  <si>
    <t>ST텔레콤</t>
    <phoneticPr fontId="1" type="noConversion"/>
  </si>
  <si>
    <t>현두건설</t>
    <phoneticPr fontId="1" type="noConversion"/>
  </si>
  <si>
    <t>한국해운</t>
    <phoneticPr fontId="1" type="noConversion"/>
  </si>
  <si>
    <t>성진신약</t>
    <phoneticPr fontId="1" type="noConversion"/>
  </si>
  <si>
    <t>대한은행</t>
    <phoneticPr fontId="1" type="noConversion"/>
  </si>
  <si>
    <t>우리전력공사</t>
    <phoneticPr fontId="1" type="noConversion"/>
  </si>
  <si>
    <t>극강제강</t>
    <phoneticPr fontId="1" type="noConversion"/>
  </si>
  <si>
    <t>기대자동차</t>
    <phoneticPr fontId="1" type="noConversion"/>
  </si>
  <si>
    <t>강한중공업</t>
    <phoneticPr fontId="1" type="noConversion"/>
  </si>
  <si>
    <t>신대백화점</t>
    <phoneticPr fontId="1" type="noConversion"/>
  </si>
  <si>
    <t>신성기술</t>
    <phoneticPr fontId="1" type="noConversion"/>
  </si>
  <si>
    <t>단가</t>
    <phoneticPr fontId="3" type="noConversion"/>
  </si>
  <si>
    <t>판매금액</t>
    <phoneticPr fontId="3" type="noConversion"/>
  </si>
  <si>
    <t>이익금액</t>
    <phoneticPr fontId="3" type="noConversion"/>
  </si>
  <si>
    <t>용품명</t>
    <phoneticPr fontId="3" type="noConversion"/>
  </si>
  <si>
    <t>샴푸</t>
    <phoneticPr fontId="1" type="noConversion"/>
  </si>
  <si>
    <t>섬유유연제</t>
    <phoneticPr fontId="1" type="noConversion"/>
  </si>
  <si>
    <t>주방세제</t>
    <phoneticPr fontId="1" type="noConversion"/>
  </si>
  <si>
    <t>밀폐용기</t>
    <phoneticPr fontId="1" type="noConversion"/>
  </si>
  <si>
    <t>보온병</t>
    <phoneticPr fontId="1" type="noConversion"/>
  </si>
  <si>
    <t>세금</t>
    <phoneticPr fontId="1" type="noConversion"/>
  </si>
  <si>
    <t>카페트</t>
    <phoneticPr fontId="1" type="noConversion"/>
  </si>
  <si>
    <t>판매량</t>
    <phoneticPr fontId="3" type="noConversion"/>
  </si>
  <si>
    <t>생활용품 판매 현황</t>
    <phoneticPr fontId="1" type="noConversion"/>
  </si>
  <si>
    <t>임대비</t>
    <phoneticPr fontId="1" type="noConversion"/>
  </si>
  <si>
    <t>성명</t>
    <phoneticPr fontId="3" type="noConversion"/>
  </si>
  <si>
    <t>학과</t>
    <phoneticPr fontId="3" type="noConversion"/>
  </si>
  <si>
    <t>학번</t>
    <phoneticPr fontId="3" type="noConversion"/>
  </si>
  <si>
    <t>자격증과목</t>
    <phoneticPr fontId="3" type="noConversion"/>
  </si>
  <si>
    <t>교육기간</t>
    <phoneticPr fontId="3" type="noConversion"/>
  </si>
  <si>
    <t>수강료</t>
    <phoneticPr fontId="3" type="noConversion"/>
  </si>
  <si>
    <t>박승대</t>
    <phoneticPr fontId="1" type="noConversion"/>
  </si>
  <si>
    <t>환경학과</t>
    <phoneticPr fontId="1" type="noConversion"/>
  </si>
  <si>
    <t>대기환경산업기사</t>
    <phoneticPr fontId="1" type="noConversion"/>
  </si>
  <si>
    <t>40시간(2개월)</t>
    <phoneticPr fontId="1" type="noConversion"/>
  </si>
  <si>
    <t>이창규</t>
    <phoneticPr fontId="1" type="noConversion"/>
  </si>
  <si>
    <t>건축학과</t>
    <phoneticPr fontId="1" type="noConversion"/>
  </si>
  <si>
    <t>토목산업기사</t>
    <phoneticPr fontId="1" type="noConversion"/>
  </si>
  <si>
    <t>60시간(3개월)</t>
    <phoneticPr fontId="1" type="noConversion"/>
  </si>
  <si>
    <t>최영훈</t>
    <phoneticPr fontId="1" type="noConversion"/>
  </si>
  <si>
    <t>전자통신학과</t>
    <phoneticPr fontId="1" type="noConversion"/>
  </si>
  <si>
    <t>정보처리산업기사</t>
    <phoneticPr fontId="1" type="noConversion"/>
  </si>
  <si>
    <t>신선희</t>
    <phoneticPr fontId="1" type="noConversion"/>
  </si>
  <si>
    <t>강유라</t>
    <phoneticPr fontId="1" type="noConversion"/>
  </si>
  <si>
    <t>김경일</t>
    <phoneticPr fontId="1" type="noConversion"/>
  </si>
  <si>
    <t>한승해</t>
    <phoneticPr fontId="1" type="noConversion"/>
  </si>
  <si>
    <t>유명진</t>
    <phoneticPr fontId="1" type="noConversion"/>
  </si>
  <si>
    <t>손정란</t>
    <phoneticPr fontId="1" type="noConversion"/>
  </si>
  <si>
    <t>영업부 출장비 사용 내역</t>
    <phoneticPr fontId="1" type="noConversion"/>
  </si>
  <si>
    <t>번호</t>
  </si>
  <si>
    <t>고객명</t>
  </si>
  <si>
    <t>요금제</t>
  </si>
  <si>
    <t>기본요금</t>
  </si>
  <si>
    <t>단말기할부금</t>
  </si>
  <si>
    <t>세금</t>
  </si>
  <si>
    <t>결제금액</t>
  </si>
  <si>
    <t>010-3658-9678</t>
  </si>
  <si>
    <t>김은소</t>
  </si>
  <si>
    <t>일반형</t>
  </si>
  <si>
    <t>010-6579-8133</t>
  </si>
  <si>
    <t>우수아</t>
  </si>
  <si>
    <t>패밀리형</t>
  </si>
  <si>
    <t>010-6578-2257</t>
  </si>
  <si>
    <t>김희연</t>
  </si>
  <si>
    <t>010-3897-7774</t>
  </si>
  <si>
    <t>이하희</t>
  </si>
  <si>
    <t>고급형</t>
  </si>
  <si>
    <t>010-3678-6547</t>
  </si>
  <si>
    <t>유하은</t>
  </si>
  <si>
    <t>010-9004-4044</t>
  </si>
  <si>
    <t>김가온</t>
  </si>
  <si>
    <t>010-7852-9638</t>
  </si>
  <si>
    <t>심형도</t>
  </si>
  <si>
    <t>010-8979-8800</t>
  </si>
  <si>
    <t>윤소정</t>
  </si>
  <si>
    <t>010-2098-3800</t>
  </si>
  <si>
    <t>김춘화</t>
  </si>
  <si>
    <t>010-8257-8222</t>
  </si>
  <si>
    <t>여민우</t>
  </si>
  <si>
    <t>담당자</t>
  </si>
  <si>
    <t>(모두)</t>
  </si>
  <si>
    <t>행 레이블</t>
  </si>
  <si>
    <t>강원</t>
  </si>
  <si>
    <t>경기</t>
  </si>
  <si>
    <t>대전</t>
  </si>
  <si>
    <t>부산</t>
  </si>
  <si>
    <t>서울</t>
  </si>
  <si>
    <t>총합계</t>
  </si>
  <si>
    <t>열 레이블</t>
  </si>
  <si>
    <t>사무자동화</t>
  </si>
  <si>
    <t>워드</t>
  </si>
  <si>
    <t>컴활</t>
  </si>
  <si>
    <t>전체 합계 : 판매이익</t>
  </si>
  <si>
    <t>합계 : 판매이익</t>
  </si>
  <si>
    <t>평균 : 판매가</t>
  </si>
  <si>
    <t>전체 평균 : 판매가</t>
  </si>
  <si>
    <t>3DTV 요약</t>
  </si>
  <si>
    <t>냉장고 요약</t>
  </si>
  <si>
    <t>세탁기 요약</t>
  </si>
  <si>
    <t>정수기 요약</t>
  </si>
  <si>
    <t>3DTV 평균</t>
  </si>
  <si>
    <t>냉장고 평균</t>
  </si>
  <si>
    <t>세탁기 평균</t>
  </si>
  <si>
    <t>정수기 평균</t>
  </si>
  <si>
    <t>전체 평균</t>
  </si>
</sst>
</file>

<file path=xl/styles.xml><?xml version="1.0" encoding="utf-8"?>
<styleSheet xmlns="http://schemas.openxmlformats.org/spreadsheetml/2006/main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.0%"/>
    <numFmt numFmtId="177" formatCode="0.0_ "/>
    <numFmt numFmtId="178" formatCode="#,###&quot;원&quot;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u/>
      <sz val="15"/>
      <color theme="1"/>
      <name val="돋움체"/>
      <family val="3"/>
      <charset val="129"/>
    </font>
    <font>
      <b/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11">
    <xf numFmtId="0" fontId="0" fillId="0" borderId="0">
      <alignment vertical="center"/>
    </xf>
    <xf numFmtId="0" fontId="2" fillId="0" borderId="0"/>
    <xf numFmtId="41" fontId="2" fillId="0" borderId="0" applyFont="0" applyFill="0" applyBorder="0" applyAlignment="0" applyProtection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1" fontId="6" fillId="0" borderId="0" applyFont="0" applyFill="0" applyBorder="0" applyAlignment="0" applyProtection="0">
      <alignment vertical="center"/>
    </xf>
    <xf numFmtId="0" fontId="2" fillId="0" borderId="0"/>
  </cellStyleXfs>
  <cellXfs count="85">
    <xf numFmtId="0" fontId="0" fillId="0" borderId="0" xfId="0">
      <alignment vertical="center"/>
    </xf>
    <xf numFmtId="0" fontId="4" fillId="0" borderId="0" xfId="0" applyFont="1" applyBorder="1">
      <alignment vertical="center"/>
    </xf>
    <xf numFmtId="0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NumberFormat="1">
      <alignment vertical="center"/>
    </xf>
    <xf numFmtId="0" fontId="0" fillId="0" borderId="0" xfId="0" applyAlignment="1"/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7" fillId="0" borderId="0" xfId="0" applyFont="1" applyAlignment="1"/>
    <xf numFmtId="0" fontId="8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41" fontId="0" fillId="0" borderId="1" xfId="2" applyFont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1" fontId="4" fillId="0" borderId="1" xfId="0" applyNumberFormat="1" applyFont="1" applyFill="1" applyBorder="1" applyAlignment="1">
      <alignment vertical="center"/>
    </xf>
    <xf numFmtId="41" fontId="0" fillId="0" borderId="1" xfId="9" applyFont="1" applyBorder="1" applyAlignment="1">
      <alignment horizontal="center" vertical="center"/>
    </xf>
    <xf numFmtId="0" fontId="5" fillId="0" borderId="0" xfId="0" applyFont="1" applyAlignment="1"/>
    <xf numFmtId="0" fontId="9" fillId="0" borderId="0" xfId="0" applyFont="1" applyAlignment="1"/>
    <xf numFmtId="0" fontId="5" fillId="0" borderId="1" xfId="0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76" fontId="5" fillId="0" borderId="1" xfId="8" applyNumberFormat="1" applyFont="1" applyBorder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0" fontId="10" fillId="0" borderId="0" xfId="0" applyFont="1" applyAlignment="1"/>
    <xf numFmtId="41" fontId="5" fillId="0" borderId="0" xfId="2" applyFont="1" applyBorder="1" applyAlignment="1">
      <alignment horizontal="center" vertical="center"/>
    </xf>
    <xf numFmtId="0" fontId="0" fillId="0" borderId="1" xfId="0" applyNumberFormat="1" applyBorder="1" applyAlignment="1">
      <alignment horizontal="center"/>
    </xf>
    <xf numFmtId="0" fontId="9" fillId="0" borderId="0" xfId="10" applyFont="1" applyAlignment="1">
      <alignment horizontal="left" vertical="center"/>
    </xf>
    <xf numFmtId="0" fontId="10" fillId="0" borderId="0" xfId="10" applyFont="1" applyAlignment="1">
      <alignment horizontal="left" vertical="center"/>
    </xf>
    <xf numFmtId="0" fontId="4" fillId="0" borderId="1" xfId="0" applyNumberFormat="1" applyFont="1" applyBorder="1" applyAlignment="1">
      <alignment horizontal="center" vertical="center"/>
    </xf>
    <xf numFmtId="0" fontId="4" fillId="0" borderId="1" xfId="9" applyNumberFormat="1" applyFont="1" applyBorder="1" applyAlignment="1">
      <alignment horizontal="center" vertical="center"/>
    </xf>
    <xf numFmtId="177" fontId="4" fillId="0" borderId="1" xfId="9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1" fontId="4" fillId="0" borderId="1" xfId="9" applyFont="1" applyBorder="1" applyAlignment="1">
      <alignment vertical="center"/>
    </xf>
    <xf numFmtId="9" fontId="4" fillId="0" borderId="1" xfId="9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/>
    </xf>
    <xf numFmtId="41" fontId="0" fillId="0" borderId="1" xfId="9" applyFont="1" applyBorder="1" applyAlignment="1">
      <alignment horizontal="center"/>
    </xf>
    <xf numFmtId="41" fontId="0" fillId="0" borderId="1" xfId="9" applyFont="1" applyBorder="1">
      <alignment vertical="center"/>
    </xf>
    <xf numFmtId="0" fontId="5" fillId="0" borderId="0" xfId="0" applyNumberFormat="1" applyFont="1" applyAlignment="1">
      <alignment horizontal="left" vertic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left" vertical="center" wrapText="1"/>
    </xf>
    <xf numFmtId="0" fontId="5" fillId="0" borderId="0" xfId="0" applyNumberFormat="1" applyFont="1" applyAlignment="1">
      <alignment vertical="center" wrapText="1"/>
    </xf>
    <xf numFmtId="0" fontId="0" fillId="3" borderId="1" xfId="0" applyFill="1" applyBorder="1" applyAlignment="1">
      <alignment horizontal="center" vertical="center"/>
    </xf>
    <xf numFmtId="31" fontId="0" fillId="0" borderId="1" xfId="0" applyNumberFormat="1" applyBorder="1">
      <alignment vertical="center"/>
    </xf>
    <xf numFmtId="0" fontId="0" fillId="0" borderId="1" xfId="0" applyBorder="1">
      <alignment vertical="center"/>
    </xf>
    <xf numFmtId="178" fontId="0" fillId="0" borderId="1" xfId="9" applyNumberFormat="1" applyFont="1" applyBorder="1">
      <alignment vertical="center"/>
    </xf>
    <xf numFmtId="178" fontId="0" fillId="0" borderId="1" xfId="0" applyNumberFormat="1" applyBorder="1">
      <alignment vertical="center"/>
    </xf>
    <xf numFmtId="0" fontId="0" fillId="0" borderId="7" xfId="0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indent="1"/>
    </xf>
    <xf numFmtId="41" fontId="0" fillId="0" borderId="0" xfId="0" applyNumberFormat="1">
      <alignment vertical="center"/>
    </xf>
    <xf numFmtId="41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41" fontId="4" fillId="0" borderId="0" xfId="9" applyFont="1" applyBorder="1" applyAlignment="1">
      <alignment vertical="center"/>
    </xf>
    <xf numFmtId="9" fontId="4" fillId="0" borderId="0" xfId="9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3" fillId="0" borderId="1" xfId="1" applyFont="1" applyBorder="1" applyAlignment="1">
      <alignment horizontal="center" vertical="center"/>
    </xf>
    <xf numFmtId="0" fontId="13" fillId="0" borderId="1" xfId="1" applyFont="1" applyBorder="1" applyAlignment="1">
      <alignment horizontal="center" vertical="center" wrapText="1"/>
    </xf>
    <xf numFmtId="0" fontId="13" fillId="0" borderId="1" xfId="1" applyFont="1" applyBorder="1" applyAlignment="1">
      <alignment horizontal="center"/>
    </xf>
    <xf numFmtId="41" fontId="13" fillId="0" borderId="1" xfId="9" applyFont="1" applyBorder="1" applyAlignment="1"/>
    <xf numFmtId="0" fontId="13" fillId="0" borderId="1" xfId="1" applyFont="1" applyFill="1" applyBorder="1" applyAlignment="1">
      <alignment horizontal="center"/>
    </xf>
    <xf numFmtId="41" fontId="4" fillId="0" borderId="1" xfId="9" applyFont="1" applyBorder="1">
      <alignment vertical="center"/>
    </xf>
    <xf numFmtId="0" fontId="14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2" applyFont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177" fontId="4" fillId="0" borderId="3" xfId="0" applyNumberFormat="1" applyFont="1" applyBorder="1" applyAlignment="1">
      <alignment horizontal="center" vertical="center"/>
    </xf>
    <xf numFmtId="177" fontId="4" fillId="0" borderId="4" xfId="0" applyNumberFormat="1" applyFont="1" applyBorder="1" applyAlignment="1">
      <alignment horizontal="center" vertical="center"/>
    </xf>
    <xf numFmtId="177" fontId="4" fillId="0" borderId="5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/>
    </xf>
  </cellXfs>
  <cellStyles count="11">
    <cellStyle name="백분율 2" xfId="4"/>
    <cellStyle name="백분율 3" xfId="8"/>
    <cellStyle name="쉼표 [0]" xfId="9" builtinId="6"/>
    <cellStyle name="쉼표 [0] 2" xfId="2"/>
    <cellStyle name="쉼표 [0] 3" xfId="5"/>
    <cellStyle name="통화 [0] 2" xfId="6"/>
    <cellStyle name="통화 [0] 3" xfId="7"/>
    <cellStyle name="표준" xfId="0" builtinId="0"/>
    <cellStyle name="표준 2" xfId="1"/>
    <cellStyle name="표준 3" xfId="3"/>
    <cellStyle name="표준_Sheet1" xfId="10"/>
  </cellStyles>
  <dxfs count="10"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title>
      <c:tx>
        <c:rich>
          <a:bodyPr/>
          <a:lstStyle/>
          <a:p>
            <a:pPr>
              <a:defRPr sz="1600">
                <a:latin typeface="굴림체" pitchFamily="49" charset="-127"/>
                <a:ea typeface="굴림체" pitchFamily="49" charset="-127"/>
              </a:defRPr>
            </a:pPr>
            <a:r>
              <a:rPr lang="ko-KR" altLang="en-US" sz="1600">
                <a:latin typeface="굴림체" pitchFamily="49" charset="-127"/>
                <a:ea typeface="굴림체" pitchFamily="49" charset="-127"/>
              </a:rPr>
              <a:t>생활용품 이익금액 현황</a:t>
            </a:r>
          </a:p>
        </c:rich>
      </c:tx>
      <c:layout/>
    </c:title>
    <c:plotArea>
      <c:layout/>
      <c:pieChart>
        <c:varyColors val="1"/>
        <c:ser>
          <c:idx val="0"/>
          <c:order val="0"/>
          <c:tx>
            <c:strRef>
              <c:f>차트작업!$G$3</c:f>
              <c:strCache>
                <c:ptCount val="1"/>
                <c:pt idx="0">
                  <c:v>이익금액</c:v>
                </c:pt>
              </c:strCache>
            </c:strRef>
          </c:tx>
          <c:dLbls>
            <c:dLbl>
              <c:idx val="3"/>
              <c:layout/>
              <c:showVal val="1"/>
              <c:showPercent val="1"/>
            </c:dLbl>
            <c:showVal val="1"/>
            <c:showLeaderLines val="1"/>
          </c:dLbls>
          <c:cat>
            <c:strRef>
              <c:f>차트작업!$A$4:$A$9</c:f>
              <c:strCache>
                <c:ptCount val="6"/>
                <c:pt idx="0">
                  <c:v>샴푸</c:v>
                </c:pt>
                <c:pt idx="1">
                  <c:v>섬유유연제</c:v>
                </c:pt>
                <c:pt idx="2">
                  <c:v>주방세제</c:v>
                </c:pt>
                <c:pt idx="3">
                  <c:v>밀폐용기</c:v>
                </c:pt>
                <c:pt idx="4">
                  <c:v>보온병</c:v>
                </c:pt>
                <c:pt idx="5">
                  <c:v>카페트</c:v>
                </c:pt>
              </c:strCache>
            </c:strRef>
          </c:cat>
          <c:val>
            <c:numRef>
              <c:f>차트작업!$G$4:$G$9</c:f>
              <c:numCache>
                <c:formatCode>_-* #,##0_-;\-* #,##0_-;_-* "-"_-;_-@_-</c:formatCode>
                <c:ptCount val="6"/>
                <c:pt idx="0">
                  <c:v>10819000</c:v>
                </c:pt>
                <c:pt idx="1">
                  <c:v>9645000</c:v>
                </c:pt>
                <c:pt idx="2">
                  <c:v>8081000</c:v>
                </c:pt>
                <c:pt idx="3">
                  <c:v>17597000</c:v>
                </c:pt>
                <c:pt idx="4">
                  <c:v>12403000</c:v>
                </c:pt>
                <c:pt idx="5">
                  <c:v>11888000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3</xdr:col>
      <xdr:colOff>0</xdr:colOff>
      <xdr:row>18</xdr:row>
      <xdr:rowOff>0</xdr:rowOff>
    </xdr:to>
    <xdr:sp macro="[0]!쉼표" textlink="">
      <xdr:nvSpPr>
        <xdr:cNvPr id="2" name="사다리꼴 1"/>
        <xdr:cNvSpPr/>
      </xdr:nvSpPr>
      <xdr:spPr>
        <a:xfrm>
          <a:off x="990600" y="3400425"/>
          <a:ext cx="1409700" cy="419100"/>
        </a:xfrm>
        <a:prstGeom prst="trapezoi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쉼표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6</xdr:col>
      <xdr:colOff>0</xdr:colOff>
      <xdr:row>18</xdr:row>
      <xdr:rowOff>0</xdr:rowOff>
    </xdr:to>
    <xdr:sp macro="[0]!테두리" textlink="">
      <xdr:nvSpPr>
        <xdr:cNvPr id="3" name="타원 2"/>
        <xdr:cNvSpPr/>
      </xdr:nvSpPr>
      <xdr:spPr>
        <a:xfrm>
          <a:off x="3305175" y="3400425"/>
          <a:ext cx="1752600" cy="4191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테두리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5</xdr:col>
      <xdr:colOff>828674</xdr:colOff>
      <xdr:row>25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시나공" refreshedDate="41409.558560069447" createdVersion="3" refreshedVersion="3" minRefreshableVersion="3" recordCount="15">
  <cacheSource type="worksheet">
    <worksheetSource ref="A3:I18" sheet="분석작업-1"/>
  </cacheSource>
  <cacheFields count="9">
    <cacheField name="도서명" numFmtId="0">
      <sharedItems count="3">
        <s v="워드"/>
        <s v="컴활"/>
        <s v="사무자동화"/>
      </sharedItems>
    </cacheField>
    <cacheField name="지역" numFmtId="0">
      <sharedItems count="5">
        <s v="서울"/>
        <s v="부산"/>
        <s v="대전"/>
        <s v="경기"/>
        <s v="강원"/>
      </sharedItems>
    </cacheField>
    <cacheField name="담당자" numFmtId="0">
      <sharedItems count="5">
        <s v="최대건"/>
        <s v="심영훈"/>
        <s v="최경민"/>
        <s v="김종모"/>
        <s v="박철근"/>
      </sharedItems>
    </cacheField>
    <cacheField name="판매가" numFmtId="41">
      <sharedItems containsSemiMixedTypes="0" containsString="0" containsNumber="1" containsInteger="1" minValue="15000" maxValue="27000"/>
    </cacheField>
    <cacheField name="목표량" numFmtId="0">
      <sharedItems containsSemiMixedTypes="0" containsString="0" containsNumber="1" containsInteger="1" minValue="15000" maxValue="35000"/>
    </cacheField>
    <cacheField name="판매량" numFmtId="0">
      <sharedItems containsSemiMixedTypes="0" containsString="0" containsNumber="1" containsInteger="1" minValue="6358" maxValue="23253"/>
    </cacheField>
    <cacheField name="홍보비" numFmtId="41">
      <sharedItems containsSemiMixedTypes="0" containsString="0" containsNumber="1" containsInteger="1" minValue="25000000" maxValue="35000000"/>
    </cacheField>
    <cacheField name="운임비" numFmtId="41">
      <sharedItems containsSemiMixedTypes="0" containsString="0" containsNumber="1" containsInteger="1" minValue="33000000" maxValue="36000000"/>
    </cacheField>
    <cacheField name="판매이익" numFmtId="41">
      <sharedItems containsSemiMixedTypes="0" containsString="0" containsNumber="1" containsInteger="1" minValue="69000000" maxValue="56980000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">
  <r>
    <x v="0"/>
    <x v="0"/>
    <x v="0"/>
    <n v="15000"/>
    <n v="30000"/>
    <n v="21023"/>
    <n v="35000000"/>
    <n v="33000000"/>
    <n v="247300000"/>
  </r>
  <r>
    <x v="1"/>
    <x v="1"/>
    <x v="1"/>
    <n v="27000"/>
    <n v="30000"/>
    <n v="22015"/>
    <n v="25000000"/>
    <n v="36000000"/>
    <n v="533400000"/>
  </r>
  <r>
    <x v="2"/>
    <x v="0"/>
    <x v="0"/>
    <n v="21000"/>
    <n v="20000"/>
    <n v="13521"/>
    <n v="30000000"/>
    <n v="33000000"/>
    <n v="220900000"/>
  </r>
  <r>
    <x v="1"/>
    <x v="2"/>
    <x v="2"/>
    <n v="27000"/>
    <n v="30000"/>
    <n v="23122"/>
    <n v="25000000"/>
    <n v="34000000"/>
    <n v="565300000"/>
  </r>
  <r>
    <x v="2"/>
    <x v="1"/>
    <x v="1"/>
    <n v="21000"/>
    <n v="18000"/>
    <n v="9532"/>
    <n v="30000000"/>
    <n v="36000000"/>
    <n v="134200000"/>
  </r>
  <r>
    <x v="2"/>
    <x v="2"/>
    <x v="2"/>
    <n v="21000"/>
    <n v="17000"/>
    <n v="11468"/>
    <n v="30000000"/>
    <n v="34000000"/>
    <n v="176800000"/>
  </r>
  <r>
    <x v="0"/>
    <x v="3"/>
    <x v="3"/>
    <n v="15000"/>
    <n v="23000"/>
    <n v="11023"/>
    <n v="35000000"/>
    <n v="33500000"/>
    <n v="96800000"/>
  </r>
  <r>
    <x v="1"/>
    <x v="4"/>
    <x v="4"/>
    <n v="27000"/>
    <n v="25000"/>
    <n v="16532"/>
    <n v="25000000"/>
    <n v="34500000"/>
    <n v="386900000"/>
  </r>
  <r>
    <x v="0"/>
    <x v="4"/>
    <x v="4"/>
    <n v="15000"/>
    <n v="18000"/>
    <n v="9368"/>
    <n v="35000000"/>
    <n v="34500000"/>
    <n v="71000000"/>
  </r>
  <r>
    <x v="0"/>
    <x v="1"/>
    <x v="1"/>
    <n v="15000"/>
    <n v="25000"/>
    <n v="14038"/>
    <n v="35000000"/>
    <n v="36000000"/>
    <n v="139600000"/>
  </r>
  <r>
    <x v="0"/>
    <x v="2"/>
    <x v="2"/>
    <n v="15000"/>
    <n v="20000"/>
    <n v="10015"/>
    <n v="35000000"/>
    <n v="34000000"/>
    <n v="81200000"/>
  </r>
  <r>
    <x v="2"/>
    <x v="4"/>
    <x v="4"/>
    <n v="21000"/>
    <n v="15000"/>
    <n v="6358"/>
    <n v="30000000"/>
    <n v="34500000"/>
    <n v="69000000"/>
  </r>
  <r>
    <x v="1"/>
    <x v="0"/>
    <x v="0"/>
    <n v="27000"/>
    <n v="35000"/>
    <n v="23253"/>
    <n v="25000000"/>
    <n v="33000000"/>
    <n v="569800000"/>
  </r>
  <r>
    <x v="1"/>
    <x v="3"/>
    <x v="3"/>
    <n v="27000"/>
    <n v="28000"/>
    <n v="19535"/>
    <n v="25000000"/>
    <n v="33500000"/>
    <n v="468900000"/>
  </r>
  <r>
    <x v="2"/>
    <x v="3"/>
    <x v="3"/>
    <n v="21000"/>
    <n v="18000"/>
    <n v="10214"/>
    <n v="30000000"/>
    <n v="33500000"/>
    <n v="1510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dataOnRows="1" applyNumberFormats="0" applyBorderFormats="0" applyFontFormats="0" applyPatternFormats="0" applyAlignmentFormats="0" applyWidthHeightFormats="1" dataCaption="값" updatedVersion="3" minRefreshableVersion="3" showCalcMbrs="0" useAutoFormatting="1" colGrandTotals="0" itemPrintTitles="1" createdVersion="3" indent="0" outline="1" outlineData="1" multipleFieldFilters="0">
  <location ref="A24:D42" firstHeaderRow="1" firstDataRow="2" firstDataCol="1" rowPageCount="1" colPageCount="1"/>
  <pivotFields count="9">
    <pivotField axis="axisCol" showAll="0">
      <items count="4">
        <item x="2"/>
        <item x="0"/>
        <item x="1"/>
        <item t="default"/>
      </items>
    </pivotField>
    <pivotField axis="axisRow" showAll="0">
      <items count="6">
        <item x="4"/>
        <item x="3"/>
        <item x="2"/>
        <item x="1"/>
        <item x="0"/>
        <item t="default"/>
      </items>
    </pivotField>
    <pivotField axis="axisPage" showAll="0">
      <items count="6">
        <item x="3"/>
        <item x="4"/>
        <item x="1"/>
        <item x="2"/>
        <item x="0"/>
        <item t="default"/>
      </items>
    </pivotField>
    <pivotField dataField="1" numFmtId="41" showAll="0"/>
    <pivotField showAll="0"/>
    <pivotField showAll="0"/>
    <pivotField numFmtId="41" showAll="0"/>
    <pivotField numFmtId="41" showAll="0"/>
    <pivotField dataField="1" numFmtId="41" showAll="0"/>
  </pivotFields>
  <rowFields count="2">
    <field x="1"/>
    <field x="-2"/>
  </rowFields>
  <rowItems count="17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>
      <x v="4"/>
    </i>
    <i r="1">
      <x/>
    </i>
    <i r="1" i="1">
      <x v="1"/>
    </i>
    <i t="grand">
      <x/>
    </i>
    <i t="grand" i="1">
      <x/>
    </i>
  </rowItems>
  <colFields count="1">
    <field x="0"/>
  </colFields>
  <colItems count="3">
    <i>
      <x/>
    </i>
    <i>
      <x v="1"/>
    </i>
    <i>
      <x v="2"/>
    </i>
  </colItems>
  <pageFields count="1">
    <pageField fld="2" hier="-1"/>
  </pageFields>
  <dataFields count="2">
    <dataField name="평균 : 판매가" fld="3" subtotal="average" baseField="0" baseItem="0"/>
    <dataField name="합계 : 판매이익" fld="8" baseField="0" baseItem="0"/>
  </dataFields>
  <formats count="10">
    <format dxfId="9">
      <pivotArea collapsedLevelsAreSubtotals="1" fieldPosition="0">
        <references count="2">
          <reference field="4294967294" count="2">
            <x v="0"/>
            <x v="1"/>
          </reference>
          <reference field="1" count="1" selected="0">
            <x v="0"/>
          </reference>
        </references>
      </pivotArea>
    </format>
    <format dxfId="8">
      <pivotArea collapsedLevelsAreSubtotals="1" fieldPosition="0">
        <references count="1">
          <reference field="1" count="1">
            <x v="1"/>
          </reference>
        </references>
      </pivotArea>
    </format>
    <format dxfId="7">
      <pivotArea collapsedLevelsAreSubtotals="1" fieldPosition="0">
        <references count="2">
          <reference field="4294967294" count="2">
            <x v="0"/>
            <x v="1"/>
          </reference>
          <reference field="1" count="1" selected="0">
            <x v="1"/>
          </reference>
        </references>
      </pivotArea>
    </format>
    <format dxfId="6">
      <pivotArea collapsedLevelsAreSubtotals="1" fieldPosition="0">
        <references count="1">
          <reference field="1" count="1">
            <x v="2"/>
          </reference>
        </references>
      </pivotArea>
    </format>
    <format dxfId="5">
      <pivotArea collapsedLevelsAreSubtotals="1" fieldPosition="0">
        <references count="2">
          <reference field="4294967294" count="2">
            <x v="0"/>
            <x v="1"/>
          </reference>
          <reference field="1" count="1" selected="0">
            <x v="2"/>
          </reference>
        </references>
      </pivotArea>
    </format>
    <format dxfId="4">
      <pivotArea collapsedLevelsAreSubtotals="1" fieldPosition="0">
        <references count="1">
          <reference field="1" count="1">
            <x v="3"/>
          </reference>
        </references>
      </pivotArea>
    </format>
    <format dxfId="3">
      <pivotArea collapsedLevelsAreSubtotals="1" fieldPosition="0">
        <references count="2">
          <reference field="4294967294" count="2">
            <x v="0"/>
            <x v="1"/>
          </reference>
          <reference field="1" count="1" selected="0">
            <x v="3"/>
          </reference>
        </references>
      </pivotArea>
    </format>
    <format dxfId="2">
      <pivotArea collapsedLevelsAreSubtotals="1" fieldPosition="0">
        <references count="1">
          <reference field="1" count="1">
            <x v="4"/>
          </reference>
        </references>
      </pivotArea>
    </format>
    <format dxfId="1">
      <pivotArea collapsedLevelsAreSubtotals="1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0">
      <pivotArea field="1" grandRow="1" outline="0" collapsedLevelsAreSubtotals="1" axis="axisRow" fieldPosition="0">
        <references count="1">
          <reference field="4294967294" count="2" selected="0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12"/>
  <sheetViews>
    <sheetView tabSelected="1" workbookViewId="0"/>
  </sheetViews>
  <sheetFormatPr defaultRowHeight="16.5"/>
  <cols>
    <col min="1" max="1" width="9" style="4"/>
    <col min="2" max="2" width="13" style="4" bestFit="1" customWidth="1"/>
    <col min="3" max="3" width="9" style="4" customWidth="1"/>
    <col min="4" max="4" width="17.25" style="4" bestFit="1" customWidth="1"/>
    <col min="5" max="5" width="13.625" style="4" bestFit="1" customWidth="1"/>
    <col min="6" max="16384" width="9" style="4"/>
  </cols>
  <sheetData>
    <row r="1" spans="1:6">
      <c r="A1" s="2" t="s">
        <v>1</v>
      </c>
      <c r="B1" s="2"/>
      <c r="C1" s="2"/>
      <c r="D1" s="2"/>
      <c r="E1" s="3"/>
    </row>
    <row r="3" spans="1:6">
      <c r="A3" s="46" t="s">
        <v>207</v>
      </c>
      <c r="B3" s="46" t="s">
        <v>208</v>
      </c>
      <c r="C3" s="46" t="s">
        <v>209</v>
      </c>
      <c r="D3" s="46" t="s">
        <v>210</v>
      </c>
      <c r="E3" s="46" t="s">
        <v>211</v>
      </c>
      <c r="F3" s="46" t="s">
        <v>212</v>
      </c>
    </row>
    <row r="4" spans="1:6">
      <c r="A4" s="47" t="s">
        <v>213</v>
      </c>
      <c r="B4" s="47" t="s">
        <v>214</v>
      </c>
      <c r="C4" s="2">
        <v>12432023</v>
      </c>
      <c r="D4" s="2" t="s">
        <v>215</v>
      </c>
      <c r="E4" s="47" t="s">
        <v>216</v>
      </c>
      <c r="F4" s="4">
        <v>200000</v>
      </c>
    </row>
    <row r="5" spans="1:6">
      <c r="A5" s="2" t="s">
        <v>217</v>
      </c>
      <c r="B5" s="2" t="s">
        <v>218</v>
      </c>
      <c r="C5" s="2">
        <v>12425048</v>
      </c>
      <c r="D5" s="2" t="s">
        <v>219</v>
      </c>
      <c r="E5" s="2" t="s">
        <v>220</v>
      </c>
      <c r="F5" s="4">
        <v>360000</v>
      </c>
    </row>
    <row r="6" spans="1:6">
      <c r="A6" s="2" t="s">
        <v>221</v>
      </c>
      <c r="B6" s="2" t="s">
        <v>222</v>
      </c>
      <c r="C6" s="2">
        <v>12412016</v>
      </c>
      <c r="D6" s="2" t="s">
        <v>223</v>
      </c>
      <c r="E6" s="2" t="s">
        <v>216</v>
      </c>
      <c r="F6" s="4">
        <v>160000</v>
      </c>
    </row>
    <row r="7" spans="1:6">
      <c r="A7" s="48" t="s">
        <v>224</v>
      </c>
      <c r="B7" s="49" t="s">
        <v>218</v>
      </c>
      <c r="C7" s="2">
        <v>12425019</v>
      </c>
      <c r="D7" s="2" t="s">
        <v>219</v>
      </c>
      <c r="E7" s="2" t="s">
        <v>220</v>
      </c>
      <c r="F7" s="4">
        <v>360000</v>
      </c>
    </row>
    <row r="8" spans="1:6">
      <c r="A8" s="2" t="s">
        <v>225</v>
      </c>
      <c r="B8" s="2" t="s">
        <v>214</v>
      </c>
      <c r="C8" s="2">
        <v>12432005</v>
      </c>
      <c r="D8" s="2" t="s">
        <v>215</v>
      </c>
      <c r="E8" s="47" t="s">
        <v>216</v>
      </c>
      <c r="F8" s="4">
        <v>200000</v>
      </c>
    </row>
    <row r="9" spans="1:6">
      <c r="A9" s="47" t="s">
        <v>226</v>
      </c>
      <c r="B9" s="47" t="s">
        <v>222</v>
      </c>
      <c r="C9" s="2">
        <v>12412004</v>
      </c>
      <c r="D9" s="2" t="s">
        <v>223</v>
      </c>
      <c r="E9" s="2" t="s">
        <v>216</v>
      </c>
      <c r="F9" s="4">
        <v>160000</v>
      </c>
    </row>
    <row r="10" spans="1:6">
      <c r="A10" s="2" t="s">
        <v>227</v>
      </c>
      <c r="B10" s="47" t="s">
        <v>218</v>
      </c>
      <c r="C10" s="2">
        <v>12425026</v>
      </c>
      <c r="D10" s="2" t="s">
        <v>219</v>
      </c>
      <c r="E10" s="2" t="s">
        <v>220</v>
      </c>
      <c r="F10" s="4">
        <v>360000</v>
      </c>
    </row>
    <row r="11" spans="1:6">
      <c r="A11" s="4" t="s">
        <v>228</v>
      </c>
      <c r="B11" s="4" t="s">
        <v>214</v>
      </c>
      <c r="C11" s="2">
        <v>12432034</v>
      </c>
      <c r="D11" s="2" t="s">
        <v>215</v>
      </c>
      <c r="E11" s="47" t="s">
        <v>216</v>
      </c>
      <c r="F11" s="4">
        <v>200000</v>
      </c>
    </row>
    <row r="12" spans="1:6">
      <c r="A12" s="4" t="s">
        <v>229</v>
      </c>
      <c r="B12" s="3" t="s">
        <v>222</v>
      </c>
      <c r="C12" s="2">
        <v>12412033</v>
      </c>
      <c r="D12" s="2" t="s">
        <v>223</v>
      </c>
      <c r="E12" s="2" t="s">
        <v>216</v>
      </c>
      <c r="F12" s="4">
        <v>160000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F14"/>
  <sheetViews>
    <sheetView workbookViewId="0">
      <selection sqref="A1:F1"/>
    </sheetView>
  </sheetViews>
  <sheetFormatPr defaultRowHeight="16.5"/>
  <cols>
    <col min="2" max="2" width="17.125" bestFit="1" customWidth="1"/>
    <col min="3" max="3" width="16.5" bestFit="1" customWidth="1"/>
    <col min="4" max="5" width="9" customWidth="1"/>
    <col min="6" max="6" width="11" bestFit="1" customWidth="1"/>
  </cols>
  <sheetData>
    <row r="1" spans="1:6" ht="19.5">
      <c r="A1" s="72" t="s">
        <v>230</v>
      </c>
      <c r="B1" s="72"/>
      <c r="C1" s="72"/>
      <c r="D1" s="72"/>
      <c r="E1" s="72"/>
      <c r="F1" s="72"/>
    </row>
    <row r="2" spans="1:6">
      <c r="F2" t="s">
        <v>5</v>
      </c>
    </row>
    <row r="3" spans="1:6">
      <c r="A3" s="50" t="s">
        <v>4</v>
      </c>
      <c r="B3" s="50" t="s">
        <v>3</v>
      </c>
      <c r="C3" s="50" t="s">
        <v>2</v>
      </c>
      <c r="D3" s="50" t="s">
        <v>17</v>
      </c>
      <c r="E3" s="50" t="s">
        <v>24</v>
      </c>
      <c r="F3" s="50" t="s">
        <v>31</v>
      </c>
    </row>
    <row r="4" spans="1:6">
      <c r="A4" s="50" t="s">
        <v>6</v>
      </c>
      <c r="B4" s="51">
        <v>41491</v>
      </c>
      <c r="C4" s="51" t="s">
        <v>21</v>
      </c>
      <c r="D4" s="52" t="s">
        <v>16</v>
      </c>
      <c r="E4" s="52" t="s">
        <v>30</v>
      </c>
      <c r="F4" s="53">
        <v>18000</v>
      </c>
    </row>
    <row r="5" spans="1:6">
      <c r="A5" s="50" t="s">
        <v>7</v>
      </c>
      <c r="B5" s="51">
        <v>41491</v>
      </c>
      <c r="C5" s="51" t="s">
        <v>19</v>
      </c>
      <c r="D5" s="52" t="s">
        <v>20</v>
      </c>
      <c r="E5" s="52" t="s">
        <v>29</v>
      </c>
      <c r="F5" s="53">
        <v>70000</v>
      </c>
    </row>
    <row r="6" spans="1:6">
      <c r="A6" s="50" t="s">
        <v>8</v>
      </c>
      <c r="B6" s="51">
        <v>41494</v>
      </c>
      <c r="C6" s="51" t="s">
        <v>23</v>
      </c>
      <c r="D6" s="52" t="s">
        <v>25</v>
      </c>
      <c r="E6" s="52" t="s">
        <v>30</v>
      </c>
      <c r="F6" s="53">
        <v>120000</v>
      </c>
    </row>
    <row r="7" spans="1:6">
      <c r="A7" s="50" t="s">
        <v>9</v>
      </c>
      <c r="B7" s="51">
        <v>41494</v>
      </c>
      <c r="C7" s="51" t="s">
        <v>26</v>
      </c>
      <c r="D7" s="52" t="s">
        <v>16</v>
      </c>
      <c r="E7" s="52" t="s">
        <v>30</v>
      </c>
      <c r="F7" s="53">
        <v>20000</v>
      </c>
    </row>
    <row r="8" spans="1:6">
      <c r="A8" s="50" t="s">
        <v>10</v>
      </c>
      <c r="B8" s="51">
        <v>41494</v>
      </c>
      <c r="C8" s="51" t="s">
        <v>22</v>
      </c>
      <c r="D8" s="52" t="s">
        <v>16</v>
      </c>
      <c r="E8" s="52" t="s">
        <v>30</v>
      </c>
      <c r="F8" s="53">
        <v>32000</v>
      </c>
    </row>
    <row r="9" spans="1:6">
      <c r="A9" s="50" t="s">
        <v>11</v>
      </c>
      <c r="B9" s="51">
        <v>41502</v>
      </c>
      <c r="C9" s="51" t="s">
        <v>19</v>
      </c>
      <c r="D9" s="52" t="s">
        <v>20</v>
      </c>
      <c r="E9" s="52" t="s">
        <v>29</v>
      </c>
      <c r="F9" s="53">
        <v>85000</v>
      </c>
    </row>
    <row r="10" spans="1:6">
      <c r="A10" s="50" t="s">
        <v>12</v>
      </c>
      <c r="B10" s="51">
        <v>41503</v>
      </c>
      <c r="C10" s="51" t="s">
        <v>27</v>
      </c>
      <c r="D10" s="52" t="s">
        <v>28</v>
      </c>
      <c r="E10" s="52" t="s">
        <v>30</v>
      </c>
      <c r="F10" s="53">
        <v>24000</v>
      </c>
    </row>
    <row r="11" spans="1:6">
      <c r="A11" s="50" t="s">
        <v>13</v>
      </c>
      <c r="B11" s="51">
        <v>41508</v>
      </c>
      <c r="C11" s="51" t="s">
        <v>22</v>
      </c>
      <c r="D11" s="52" t="s">
        <v>18</v>
      </c>
      <c r="E11" s="52" t="s">
        <v>29</v>
      </c>
      <c r="F11" s="53">
        <v>150000</v>
      </c>
    </row>
    <row r="12" spans="1:6">
      <c r="A12" s="50" t="s">
        <v>14</v>
      </c>
      <c r="B12" s="51">
        <v>41510</v>
      </c>
      <c r="C12" s="51" t="s">
        <v>19</v>
      </c>
      <c r="D12" s="52" t="s">
        <v>20</v>
      </c>
      <c r="E12" s="52" t="s">
        <v>29</v>
      </c>
      <c r="F12" s="53">
        <v>80000</v>
      </c>
    </row>
    <row r="13" spans="1:6">
      <c r="A13" s="50" t="s">
        <v>15</v>
      </c>
      <c r="B13" s="51">
        <v>41511</v>
      </c>
      <c r="C13" s="51" t="s">
        <v>23</v>
      </c>
      <c r="D13" s="52" t="s">
        <v>18</v>
      </c>
      <c r="E13" s="52" t="s">
        <v>29</v>
      </c>
      <c r="F13" s="53">
        <v>180000</v>
      </c>
    </row>
    <row r="14" spans="1:6">
      <c r="A14" s="50" t="s">
        <v>32</v>
      </c>
      <c r="B14" s="55"/>
      <c r="C14" s="55"/>
      <c r="D14" s="55"/>
      <c r="E14" s="55"/>
      <c r="F14" s="54">
        <f>SUM(F4:F13)</f>
        <v>779000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G13"/>
  <sheetViews>
    <sheetView workbookViewId="0"/>
  </sheetViews>
  <sheetFormatPr defaultRowHeight="16.5"/>
  <cols>
    <col min="1" max="1" width="14.375" bestFit="1" customWidth="1"/>
    <col min="5" max="5" width="13" bestFit="1" customWidth="1"/>
  </cols>
  <sheetData>
    <row r="1" spans="1:7">
      <c r="A1" t="s">
        <v>33</v>
      </c>
    </row>
    <row r="3" spans="1:7">
      <c r="A3" t="s">
        <v>231</v>
      </c>
      <c r="B3" t="s">
        <v>232</v>
      </c>
      <c r="C3" t="s">
        <v>233</v>
      </c>
      <c r="D3" t="s">
        <v>234</v>
      </c>
      <c r="E3" t="s">
        <v>235</v>
      </c>
      <c r="F3" t="s">
        <v>236</v>
      </c>
      <c r="G3" t="s">
        <v>237</v>
      </c>
    </row>
    <row r="4" spans="1:7">
      <c r="A4" t="s">
        <v>238</v>
      </c>
      <c r="B4" t="s">
        <v>239</v>
      </c>
      <c r="C4" t="s">
        <v>240</v>
      </c>
      <c r="D4">
        <v>32000</v>
      </c>
      <c r="E4">
        <v>20000</v>
      </c>
      <c r="F4">
        <v>5200</v>
      </c>
      <c r="G4">
        <v>57200</v>
      </c>
    </row>
    <row r="5" spans="1:7">
      <c r="A5" t="s">
        <v>241</v>
      </c>
      <c r="B5" t="s">
        <v>242</v>
      </c>
      <c r="C5" t="s">
        <v>243</v>
      </c>
      <c r="D5">
        <v>42000</v>
      </c>
      <c r="E5">
        <v>16500</v>
      </c>
      <c r="F5">
        <v>5850</v>
      </c>
      <c r="G5">
        <v>64350</v>
      </c>
    </row>
    <row r="6" spans="1:7">
      <c r="A6" t="s">
        <v>244</v>
      </c>
      <c r="B6" t="s">
        <v>245</v>
      </c>
      <c r="C6" t="s">
        <v>240</v>
      </c>
      <c r="D6">
        <v>32000</v>
      </c>
      <c r="E6">
        <v>20000</v>
      </c>
      <c r="F6">
        <v>5200</v>
      </c>
      <c r="G6">
        <v>57200</v>
      </c>
    </row>
    <row r="7" spans="1:7">
      <c r="A7" t="s">
        <v>246</v>
      </c>
      <c r="B7" t="s">
        <v>247</v>
      </c>
      <c r="C7" t="s">
        <v>248</v>
      </c>
      <c r="D7">
        <v>52000</v>
      </c>
      <c r="E7">
        <v>12000</v>
      </c>
      <c r="F7">
        <v>6400</v>
      </c>
      <c r="G7">
        <v>70400</v>
      </c>
    </row>
    <row r="8" spans="1:7">
      <c r="A8" t="s">
        <v>249</v>
      </c>
      <c r="B8" t="s">
        <v>250</v>
      </c>
      <c r="C8" t="s">
        <v>240</v>
      </c>
      <c r="D8">
        <v>32000</v>
      </c>
      <c r="E8">
        <v>20000</v>
      </c>
      <c r="F8">
        <v>5200</v>
      </c>
      <c r="G8">
        <v>57200</v>
      </c>
    </row>
    <row r="9" spans="1:7">
      <c r="A9" t="s">
        <v>251</v>
      </c>
      <c r="B9" t="s">
        <v>252</v>
      </c>
      <c r="C9" t="s">
        <v>243</v>
      </c>
      <c r="D9">
        <v>42000</v>
      </c>
      <c r="E9">
        <v>16500</v>
      </c>
      <c r="F9">
        <v>5850</v>
      </c>
      <c r="G9">
        <v>64350</v>
      </c>
    </row>
    <row r="10" spans="1:7">
      <c r="A10" t="s">
        <v>253</v>
      </c>
      <c r="B10" t="s">
        <v>254</v>
      </c>
      <c r="C10" t="s">
        <v>248</v>
      </c>
      <c r="D10">
        <v>52000</v>
      </c>
      <c r="E10">
        <v>12000</v>
      </c>
      <c r="F10">
        <v>6400</v>
      </c>
      <c r="G10">
        <v>70400</v>
      </c>
    </row>
    <row r="11" spans="1:7">
      <c r="A11" t="s">
        <v>255</v>
      </c>
      <c r="B11" t="s">
        <v>256</v>
      </c>
      <c r="C11" t="s">
        <v>248</v>
      </c>
      <c r="D11">
        <v>52000</v>
      </c>
      <c r="E11">
        <v>12000</v>
      </c>
      <c r="F11">
        <v>6400</v>
      </c>
      <c r="G11">
        <v>70400</v>
      </c>
    </row>
    <row r="12" spans="1:7">
      <c r="A12" t="s">
        <v>257</v>
      </c>
      <c r="B12" t="s">
        <v>258</v>
      </c>
      <c r="C12" t="s">
        <v>243</v>
      </c>
      <c r="D12">
        <v>42000</v>
      </c>
      <c r="E12">
        <v>16500</v>
      </c>
      <c r="F12">
        <v>5850</v>
      </c>
      <c r="G12">
        <v>64350</v>
      </c>
    </row>
    <row r="13" spans="1:7">
      <c r="A13" t="s">
        <v>259</v>
      </c>
      <c r="B13" t="s">
        <v>260</v>
      </c>
      <c r="C13" t="s">
        <v>240</v>
      </c>
      <c r="D13">
        <v>32000</v>
      </c>
      <c r="E13">
        <v>20000</v>
      </c>
      <c r="F13">
        <v>5200</v>
      </c>
      <c r="G13">
        <v>57200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M40"/>
  <sheetViews>
    <sheetView zoomScaleNormal="100" workbookViewId="0"/>
  </sheetViews>
  <sheetFormatPr defaultRowHeight="16.5"/>
  <cols>
    <col min="1" max="2" width="9" style="4"/>
    <col min="3" max="4" width="9" style="4" customWidth="1"/>
    <col min="5" max="6" width="9" style="4"/>
    <col min="7" max="7" width="3.625" style="4" customWidth="1"/>
    <col min="8" max="8" width="9" style="4" customWidth="1"/>
    <col min="9" max="9" width="12.375" style="4" customWidth="1"/>
    <col min="10" max="10" width="9" style="4" bestFit="1" customWidth="1"/>
    <col min="11" max="11" width="9" style="4"/>
    <col min="12" max="12" width="9" style="4" customWidth="1"/>
    <col min="13" max="13" width="10.875" style="4" bestFit="1" customWidth="1"/>
    <col min="14" max="16384" width="9" style="4"/>
  </cols>
  <sheetData>
    <row r="1" spans="1:13">
      <c r="A1" s="11" t="s">
        <v>35</v>
      </c>
      <c r="B1" s="12" t="s">
        <v>99</v>
      </c>
      <c r="D1" s="13"/>
      <c r="E1" s="13"/>
      <c r="F1" s="13"/>
      <c r="H1" s="11" t="s">
        <v>59</v>
      </c>
      <c r="I1" s="12" t="s">
        <v>61</v>
      </c>
      <c r="J1" s="13"/>
      <c r="K1" s="13"/>
      <c r="L1" s="13"/>
    </row>
    <row r="2" spans="1:13">
      <c r="A2" s="14" t="s">
        <v>34</v>
      </c>
      <c r="B2" s="14" t="s">
        <v>36</v>
      </c>
      <c r="C2" s="14" t="s">
        <v>38</v>
      </c>
      <c r="D2" s="14" t="s">
        <v>39</v>
      </c>
      <c r="E2" s="14" t="s">
        <v>113</v>
      </c>
      <c r="F2" s="14" t="s">
        <v>114</v>
      </c>
      <c r="H2" s="14" t="s">
        <v>75</v>
      </c>
      <c r="I2" s="14" t="s">
        <v>60</v>
      </c>
      <c r="J2" s="21" t="s">
        <v>66</v>
      </c>
      <c r="K2" s="21" t="s">
        <v>65</v>
      </c>
      <c r="L2" s="21" t="s">
        <v>67</v>
      </c>
      <c r="M2" s="22" t="s">
        <v>68</v>
      </c>
    </row>
    <row r="3" spans="1:13" s="19" customFormat="1">
      <c r="A3" s="18">
        <v>1035</v>
      </c>
      <c r="B3" s="18" t="s">
        <v>43</v>
      </c>
      <c r="C3" s="14" t="s">
        <v>40</v>
      </c>
      <c r="D3" s="14" t="s">
        <v>52</v>
      </c>
      <c r="E3" s="14">
        <v>81.099999999999994</v>
      </c>
      <c r="F3" s="14">
        <v>78.599999999999994</v>
      </c>
      <c r="H3" s="15" t="s">
        <v>69</v>
      </c>
      <c r="I3" s="15" t="s">
        <v>62</v>
      </c>
      <c r="J3" s="24">
        <v>25000</v>
      </c>
      <c r="K3" s="24">
        <v>123</v>
      </c>
      <c r="L3" s="20">
        <f>J3*K3*17%</f>
        <v>522750.00000000006</v>
      </c>
      <c r="M3" s="23">
        <f>J3*K3-L3</f>
        <v>2552250</v>
      </c>
    </row>
    <row r="4" spans="1:13" s="19" customFormat="1">
      <c r="A4" s="18">
        <v>2045</v>
      </c>
      <c r="B4" s="18" t="s">
        <v>42</v>
      </c>
      <c r="C4" s="14" t="s">
        <v>41</v>
      </c>
      <c r="D4" s="14" t="s">
        <v>53</v>
      </c>
      <c r="E4" s="14">
        <v>86.5</v>
      </c>
      <c r="F4" s="14">
        <v>88.4</v>
      </c>
      <c r="H4" s="15" t="s">
        <v>70</v>
      </c>
      <c r="I4" s="15" t="s">
        <v>62</v>
      </c>
      <c r="J4" s="24">
        <v>25000</v>
      </c>
      <c r="K4" s="24">
        <v>102</v>
      </c>
      <c r="L4" s="20">
        <f t="shared" ref="L4:L12" si="0">J4*K4*17%</f>
        <v>433500.00000000006</v>
      </c>
      <c r="M4" s="23">
        <f t="shared" ref="M4:M12" si="1">J4*K4-L4</f>
        <v>2116500</v>
      </c>
    </row>
    <row r="5" spans="1:13">
      <c r="A5" s="17">
        <v>2133</v>
      </c>
      <c r="B5" s="17" t="s">
        <v>44</v>
      </c>
      <c r="C5" s="15" t="s">
        <v>40</v>
      </c>
      <c r="D5" s="15" t="s">
        <v>54</v>
      </c>
      <c r="E5" s="15">
        <v>77.5</v>
      </c>
      <c r="F5" s="15">
        <v>79.900000000000006</v>
      </c>
      <c r="H5" s="15" t="s">
        <v>71</v>
      </c>
      <c r="I5" s="15" t="s">
        <v>62</v>
      </c>
      <c r="J5" s="24">
        <v>25000</v>
      </c>
      <c r="K5" s="24">
        <v>99</v>
      </c>
      <c r="L5" s="20">
        <f t="shared" si="0"/>
        <v>420750.00000000006</v>
      </c>
      <c r="M5" s="23">
        <f t="shared" si="1"/>
        <v>2054250</v>
      </c>
    </row>
    <row r="6" spans="1:13">
      <c r="A6" s="17">
        <v>1284</v>
      </c>
      <c r="B6" s="17" t="s">
        <v>45</v>
      </c>
      <c r="C6" s="15" t="s">
        <v>41</v>
      </c>
      <c r="D6" s="15" t="s">
        <v>55</v>
      </c>
      <c r="E6" s="15">
        <v>90.3</v>
      </c>
      <c r="F6" s="15">
        <v>91.5</v>
      </c>
      <c r="H6" s="15" t="s">
        <v>69</v>
      </c>
      <c r="I6" s="15" t="s">
        <v>63</v>
      </c>
      <c r="J6" s="24">
        <v>20000</v>
      </c>
      <c r="K6" s="24">
        <v>84</v>
      </c>
      <c r="L6" s="20">
        <f t="shared" si="0"/>
        <v>285600</v>
      </c>
      <c r="M6" s="23">
        <f t="shared" si="1"/>
        <v>1394400</v>
      </c>
    </row>
    <row r="7" spans="1:13">
      <c r="A7" s="17">
        <v>1389</v>
      </c>
      <c r="B7" s="17" t="s">
        <v>46</v>
      </c>
      <c r="C7" s="15" t="s">
        <v>41</v>
      </c>
      <c r="D7" s="15" t="s">
        <v>53</v>
      </c>
      <c r="E7" s="15">
        <v>89.2</v>
      </c>
      <c r="F7" s="15">
        <v>87.4</v>
      </c>
      <c r="H7" s="15" t="s">
        <v>71</v>
      </c>
      <c r="I7" s="15" t="s">
        <v>63</v>
      </c>
      <c r="J7" s="24">
        <v>20000</v>
      </c>
      <c r="K7" s="24">
        <v>131</v>
      </c>
      <c r="L7" s="20">
        <f t="shared" si="0"/>
        <v>445400.00000000006</v>
      </c>
      <c r="M7" s="23">
        <f t="shared" si="1"/>
        <v>2174600</v>
      </c>
    </row>
    <row r="8" spans="1:13" s="19" customFormat="1">
      <c r="A8" s="18">
        <v>2789</v>
      </c>
      <c r="B8" s="18" t="s">
        <v>47</v>
      </c>
      <c r="C8" s="14" t="s">
        <v>40</v>
      </c>
      <c r="D8" s="14" t="s">
        <v>52</v>
      </c>
      <c r="E8" s="14">
        <v>84.5</v>
      </c>
      <c r="F8" s="14">
        <v>82.7</v>
      </c>
      <c r="H8" s="15" t="s">
        <v>70</v>
      </c>
      <c r="I8" s="15" t="s">
        <v>63</v>
      </c>
      <c r="J8" s="24">
        <v>20000</v>
      </c>
      <c r="K8" s="24">
        <v>111</v>
      </c>
      <c r="L8" s="20">
        <f t="shared" si="0"/>
        <v>377400</v>
      </c>
      <c r="M8" s="23">
        <f t="shared" si="1"/>
        <v>1842600</v>
      </c>
    </row>
    <row r="9" spans="1:13">
      <c r="A9" s="17">
        <v>1682</v>
      </c>
      <c r="B9" s="17" t="s">
        <v>48</v>
      </c>
      <c r="C9" s="15" t="s">
        <v>41</v>
      </c>
      <c r="D9" s="15" t="s">
        <v>54</v>
      </c>
      <c r="E9" s="15">
        <v>90.5</v>
      </c>
      <c r="F9" s="15">
        <v>93.1</v>
      </c>
      <c r="H9" s="15" t="s">
        <v>73</v>
      </c>
      <c r="I9" s="15" t="s">
        <v>62</v>
      </c>
      <c r="J9" s="24">
        <v>25000</v>
      </c>
      <c r="K9" s="24">
        <v>117</v>
      </c>
      <c r="L9" s="20">
        <f t="shared" si="0"/>
        <v>497250.00000000006</v>
      </c>
      <c r="M9" s="23">
        <f t="shared" si="1"/>
        <v>2427750</v>
      </c>
    </row>
    <row r="10" spans="1:13">
      <c r="A10" s="17">
        <v>1927</v>
      </c>
      <c r="B10" s="17" t="s">
        <v>51</v>
      </c>
      <c r="C10" s="15" t="s">
        <v>41</v>
      </c>
      <c r="D10" s="15" t="s">
        <v>56</v>
      </c>
      <c r="E10" s="15">
        <v>88.8</v>
      </c>
      <c r="F10" s="15">
        <v>86.7</v>
      </c>
      <c r="H10" s="15" t="s">
        <v>69</v>
      </c>
      <c r="I10" s="15" t="s">
        <v>64</v>
      </c>
      <c r="J10" s="24">
        <v>24000</v>
      </c>
      <c r="K10" s="24">
        <v>132</v>
      </c>
      <c r="L10" s="20">
        <f t="shared" si="0"/>
        <v>538560</v>
      </c>
      <c r="M10" s="23">
        <f t="shared" si="1"/>
        <v>2629440</v>
      </c>
    </row>
    <row r="11" spans="1:13">
      <c r="A11" s="17">
        <v>1846</v>
      </c>
      <c r="B11" s="17" t="s">
        <v>49</v>
      </c>
      <c r="C11" s="15" t="s">
        <v>40</v>
      </c>
      <c r="D11" s="15" t="s">
        <v>55</v>
      </c>
      <c r="E11" s="15">
        <v>81.599999999999994</v>
      </c>
      <c r="F11" s="15">
        <v>85.6</v>
      </c>
      <c r="H11" s="15" t="s">
        <v>72</v>
      </c>
      <c r="I11" s="15" t="s">
        <v>63</v>
      </c>
      <c r="J11" s="24">
        <v>20000</v>
      </c>
      <c r="K11" s="24">
        <v>91</v>
      </c>
      <c r="L11" s="20">
        <f t="shared" si="0"/>
        <v>309400</v>
      </c>
      <c r="M11" s="23">
        <f t="shared" si="1"/>
        <v>1510600</v>
      </c>
    </row>
    <row r="12" spans="1:13">
      <c r="A12" s="17">
        <v>2555</v>
      </c>
      <c r="B12" s="17" t="s">
        <v>50</v>
      </c>
      <c r="C12" s="15" t="s">
        <v>41</v>
      </c>
      <c r="D12" s="15" t="s">
        <v>56</v>
      </c>
      <c r="E12" s="15">
        <v>80.400000000000006</v>
      </c>
      <c r="F12" s="15">
        <v>77.2</v>
      </c>
      <c r="H12" s="15" t="s">
        <v>70</v>
      </c>
      <c r="I12" s="15" t="s">
        <v>64</v>
      </c>
      <c r="J12" s="24">
        <v>24000</v>
      </c>
      <c r="K12" s="24">
        <v>89</v>
      </c>
      <c r="L12" s="20">
        <f t="shared" si="0"/>
        <v>363120</v>
      </c>
      <c r="M12" s="23">
        <f t="shared" si="1"/>
        <v>1772880</v>
      </c>
    </row>
    <row r="13" spans="1:13">
      <c r="A13" s="13" t="s">
        <v>36</v>
      </c>
      <c r="B13" s="13" t="s">
        <v>58</v>
      </c>
      <c r="C13" s="13"/>
      <c r="D13" s="13"/>
      <c r="E13" s="13"/>
      <c r="F13" s="13"/>
      <c r="H13" s="13"/>
      <c r="I13" s="13"/>
      <c r="J13" s="13"/>
      <c r="K13" s="13"/>
      <c r="L13" s="13"/>
    </row>
    <row r="14" spans="1:13">
      <c r="A14" s="4" t="s">
        <v>57</v>
      </c>
      <c r="C14" s="13"/>
      <c r="H14" s="13"/>
      <c r="I14" s="13"/>
      <c r="L14" s="73" t="s">
        <v>74</v>
      </c>
      <c r="M14" s="73"/>
    </row>
    <row r="15" spans="1:13">
      <c r="B15" s="4" t="s">
        <v>53</v>
      </c>
      <c r="C15" s="13"/>
      <c r="E15" s="16" t="s">
        <v>37</v>
      </c>
      <c r="F15" s="15" t="str">
        <f>DCOUNTA(A2:F12,B2,A13:B15)&amp;"명"</f>
        <v>4명</v>
      </c>
      <c r="H15" s="13"/>
      <c r="I15" s="13"/>
      <c r="L15" s="74">
        <f t="shared" ref="L15" si="2">ROUND(DSUM(H2:M12,M2,H2:H3),-3)</f>
        <v>6576000</v>
      </c>
      <c r="M15" s="74"/>
    </row>
    <row r="17" spans="1:13">
      <c r="A17" s="11" t="s">
        <v>96</v>
      </c>
      <c r="B17" s="10" t="s">
        <v>98</v>
      </c>
      <c r="C17" s="6"/>
      <c r="D17" s="6"/>
      <c r="H17" s="26" t="s">
        <v>97</v>
      </c>
      <c r="I17" s="32" t="s">
        <v>77</v>
      </c>
      <c r="J17" s="25"/>
      <c r="K17" s="25"/>
    </row>
    <row r="18" spans="1:13">
      <c r="A18" s="7" t="s">
        <v>0</v>
      </c>
      <c r="B18" s="7" t="s">
        <v>100</v>
      </c>
      <c r="C18" s="7" t="s">
        <v>101</v>
      </c>
      <c r="D18" s="7" t="s">
        <v>102</v>
      </c>
      <c r="E18" s="7" t="s">
        <v>112</v>
      </c>
      <c r="F18" s="9" t="s">
        <v>95</v>
      </c>
      <c r="H18" s="27" t="s">
        <v>76</v>
      </c>
      <c r="I18" s="27" t="s">
        <v>78</v>
      </c>
      <c r="J18" s="16" t="s">
        <v>84</v>
      </c>
      <c r="K18" s="33"/>
      <c r="L18" s="25" t="s">
        <v>79</v>
      </c>
      <c r="M18" s="25"/>
    </row>
    <row r="19" spans="1:13">
      <c r="A19" s="8" t="s">
        <v>103</v>
      </c>
      <c r="B19" s="8">
        <v>27</v>
      </c>
      <c r="C19" s="34">
        <v>30</v>
      </c>
      <c r="D19" s="34">
        <v>30</v>
      </c>
      <c r="E19" s="34">
        <f>SUM(B19:D19)</f>
        <v>87</v>
      </c>
      <c r="F19" s="8" t="str">
        <f>IF(RANK(E19,$E$19:$E$27)=1,"금메달",IF(RANK(E19,$E$19:$E$27)=2,"은메달",IF(RANK(E19,$E$19:$E$27)=3,"동메달","")))</f>
        <v/>
      </c>
      <c r="H19" s="28" t="s">
        <v>86</v>
      </c>
      <c r="I19" s="27">
        <v>8</v>
      </c>
      <c r="J19" s="29" t="str">
        <f>VLOOKUP(I19,$L$20:$M$22,2)</f>
        <v>일반</v>
      </c>
      <c r="K19" s="25"/>
      <c r="L19" s="27" t="s">
        <v>80</v>
      </c>
      <c r="M19" s="27" t="s">
        <v>83</v>
      </c>
    </row>
    <row r="20" spans="1:13">
      <c r="A20" s="8" t="s">
        <v>104</v>
      </c>
      <c r="B20" s="8">
        <v>29</v>
      </c>
      <c r="C20" s="34">
        <v>32</v>
      </c>
      <c r="D20" s="34">
        <v>34</v>
      </c>
      <c r="E20" s="34">
        <f t="shared" ref="E20:E27" si="3">SUM(B20:D20)</f>
        <v>95</v>
      </c>
      <c r="F20" s="8" t="str">
        <f t="shared" ref="F20:F27" si="4">IF(RANK(E20,$E$19:$E$27)=1,"금메달",IF(RANK(E20,$E$19:$E$27)=2,"은메달",IF(RANK(E20,$E$19:$E$27)=3,"동메달","")))</f>
        <v>금메달</v>
      </c>
      <c r="H20" s="28" t="s">
        <v>87</v>
      </c>
      <c r="I20" s="27">
        <v>24</v>
      </c>
      <c r="J20" s="29" t="str">
        <f t="shared" ref="J20:J27" si="5">VLOOKUP(I20,$L$20:$M$22,2)</f>
        <v>골드</v>
      </c>
      <c r="L20" s="31">
        <v>1</v>
      </c>
      <c r="M20" s="30" t="s">
        <v>81</v>
      </c>
    </row>
    <row r="21" spans="1:13">
      <c r="A21" s="8" t="s">
        <v>105</v>
      </c>
      <c r="B21" s="8">
        <v>26</v>
      </c>
      <c r="C21" s="34">
        <v>28</v>
      </c>
      <c r="D21" s="34">
        <v>32</v>
      </c>
      <c r="E21" s="34">
        <f t="shared" si="3"/>
        <v>86</v>
      </c>
      <c r="F21" s="8" t="str">
        <f t="shared" si="4"/>
        <v/>
      </c>
      <c r="H21" s="28" t="s">
        <v>88</v>
      </c>
      <c r="I21" s="27">
        <v>19</v>
      </c>
      <c r="J21" s="29" t="str">
        <f t="shared" si="5"/>
        <v>일반</v>
      </c>
      <c r="L21" s="31">
        <v>24</v>
      </c>
      <c r="M21" s="30" t="s">
        <v>82</v>
      </c>
    </row>
    <row r="22" spans="1:13">
      <c r="A22" s="8" t="s">
        <v>106</v>
      </c>
      <c r="B22" s="8">
        <v>19</v>
      </c>
      <c r="C22" s="34">
        <v>21</v>
      </c>
      <c r="D22" s="34">
        <v>28</v>
      </c>
      <c r="E22" s="34">
        <f t="shared" si="3"/>
        <v>68</v>
      </c>
      <c r="F22" s="8" t="str">
        <f t="shared" si="4"/>
        <v/>
      </c>
      <c r="H22" s="28" t="s">
        <v>89</v>
      </c>
      <c r="I22" s="27">
        <v>53</v>
      </c>
      <c r="J22" s="29" t="str">
        <f t="shared" si="5"/>
        <v>VIP</v>
      </c>
      <c r="L22" s="31">
        <v>48</v>
      </c>
      <c r="M22" s="30" t="s">
        <v>85</v>
      </c>
    </row>
    <row r="23" spans="1:13">
      <c r="A23" s="8" t="s">
        <v>107</v>
      </c>
      <c r="B23" s="8">
        <v>21</v>
      </c>
      <c r="C23" s="34">
        <v>24</v>
      </c>
      <c r="D23" s="34">
        <v>28</v>
      </c>
      <c r="E23" s="34">
        <f t="shared" si="3"/>
        <v>73</v>
      </c>
      <c r="F23" s="8" t="str">
        <f t="shared" si="4"/>
        <v/>
      </c>
      <c r="H23" s="28" t="s">
        <v>90</v>
      </c>
      <c r="I23" s="27">
        <v>38</v>
      </c>
      <c r="J23" s="29" t="str">
        <f t="shared" si="5"/>
        <v>골드</v>
      </c>
    </row>
    <row r="24" spans="1:13">
      <c r="A24" s="8" t="s">
        <v>108</v>
      </c>
      <c r="B24" s="8">
        <v>26</v>
      </c>
      <c r="C24" s="34">
        <v>31</v>
      </c>
      <c r="D24" s="34">
        <v>32</v>
      </c>
      <c r="E24" s="34">
        <f t="shared" si="3"/>
        <v>89</v>
      </c>
      <c r="F24" s="8" t="str">
        <f t="shared" si="4"/>
        <v/>
      </c>
      <c r="H24" s="28" t="s">
        <v>91</v>
      </c>
      <c r="I24" s="27">
        <v>61</v>
      </c>
      <c r="J24" s="29" t="str">
        <f t="shared" si="5"/>
        <v>VIP</v>
      </c>
    </row>
    <row r="25" spans="1:13">
      <c r="A25" s="8" t="s">
        <v>109</v>
      </c>
      <c r="B25" s="8">
        <v>29</v>
      </c>
      <c r="C25" s="34">
        <v>28</v>
      </c>
      <c r="D25" s="34">
        <v>33</v>
      </c>
      <c r="E25" s="34">
        <f t="shared" si="3"/>
        <v>90</v>
      </c>
      <c r="F25" s="8" t="str">
        <f t="shared" si="4"/>
        <v>동메달</v>
      </c>
      <c r="H25" s="28" t="s">
        <v>92</v>
      </c>
      <c r="I25" s="27">
        <v>42</v>
      </c>
      <c r="J25" s="29" t="str">
        <f t="shared" si="5"/>
        <v>골드</v>
      </c>
    </row>
    <row r="26" spans="1:13">
      <c r="A26" s="8" t="s">
        <v>110</v>
      </c>
      <c r="B26" s="8">
        <v>25</v>
      </c>
      <c r="C26" s="34">
        <v>34</v>
      </c>
      <c r="D26" s="34">
        <v>32</v>
      </c>
      <c r="E26" s="34">
        <f t="shared" si="3"/>
        <v>91</v>
      </c>
      <c r="F26" s="8" t="str">
        <f t="shared" si="4"/>
        <v>은메달</v>
      </c>
      <c r="H26" s="28" t="s">
        <v>93</v>
      </c>
      <c r="I26" s="27">
        <v>5</v>
      </c>
      <c r="J26" s="29" t="str">
        <f t="shared" si="5"/>
        <v>일반</v>
      </c>
    </row>
    <row r="27" spans="1:13">
      <c r="A27" s="8" t="s">
        <v>111</v>
      </c>
      <c r="B27" s="8">
        <v>18</v>
      </c>
      <c r="C27" s="34">
        <v>24</v>
      </c>
      <c r="D27" s="34">
        <v>29</v>
      </c>
      <c r="E27" s="34">
        <f t="shared" si="3"/>
        <v>71</v>
      </c>
      <c r="F27" s="8" t="str">
        <f t="shared" si="4"/>
        <v/>
      </c>
      <c r="H27" s="28" t="s">
        <v>94</v>
      </c>
      <c r="I27" s="27">
        <v>34</v>
      </c>
      <c r="J27" s="29" t="str">
        <f t="shared" si="5"/>
        <v>골드</v>
      </c>
    </row>
    <row r="28" spans="1:13">
      <c r="J28" s="25"/>
    </row>
    <row r="29" spans="1:13">
      <c r="A29" s="35" t="s">
        <v>115</v>
      </c>
      <c r="B29" s="36" t="s">
        <v>116</v>
      </c>
      <c r="C29"/>
      <c r="D29"/>
      <c r="E29"/>
      <c r="F29"/>
      <c r="J29" s="25"/>
    </row>
    <row r="30" spans="1:13">
      <c r="A30" s="22" t="s">
        <v>36</v>
      </c>
      <c r="B30" s="22" t="s">
        <v>117</v>
      </c>
      <c r="C30" s="22" t="s">
        <v>118</v>
      </c>
      <c r="D30" s="22" t="s">
        <v>119</v>
      </c>
      <c r="E30" s="22" t="s">
        <v>120</v>
      </c>
      <c r="F30" s="22" t="s">
        <v>121</v>
      </c>
      <c r="J30" s="25"/>
    </row>
    <row r="31" spans="1:13">
      <c r="A31" s="22" t="s">
        <v>123</v>
      </c>
      <c r="B31" s="37">
        <v>88</v>
      </c>
      <c r="C31" s="37">
        <v>92</v>
      </c>
      <c r="D31" s="38">
        <v>91</v>
      </c>
      <c r="E31" s="22">
        <f>SUM(B31:D31)</f>
        <v>271</v>
      </c>
      <c r="F31" s="39">
        <f>AVERAGE(B31:D31)</f>
        <v>90.333333333333329</v>
      </c>
      <c r="J31" s="25"/>
    </row>
    <row r="32" spans="1:13">
      <c r="A32" s="22" t="s">
        <v>124</v>
      </c>
      <c r="B32" s="37">
        <v>79</v>
      </c>
      <c r="C32" s="37">
        <v>87</v>
      </c>
      <c r="D32" s="38">
        <v>90</v>
      </c>
      <c r="E32" s="22">
        <f t="shared" ref="E32:E40" si="6">SUM(B32:D32)</f>
        <v>256</v>
      </c>
      <c r="F32" s="39">
        <f t="shared" ref="F32:F40" si="7">AVERAGE(B32:D32)</f>
        <v>85.333333333333329</v>
      </c>
      <c r="J32" s="25"/>
    </row>
    <row r="33" spans="1:10">
      <c r="A33" s="22" t="s">
        <v>129</v>
      </c>
      <c r="B33" s="37">
        <v>92</v>
      </c>
      <c r="C33" s="37">
        <v>82</v>
      </c>
      <c r="D33" s="38">
        <v>91</v>
      </c>
      <c r="E33" s="22">
        <f t="shared" si="6"/>
        <v>265</v>
      </c>
      <c r="F33" s="39">
        <f t="shared" si="7"/>
        <v>88.333333333333329</v>
      </c>
      <c r="J33" s="25"/>
    </row>
    <row r="34" spans="1:10">
      <c r="A34" s="22" t="s">
        <v>126</v>
      </c>
      <c r="B34" s="37">
        <v>91</v>
      </c>
      <c r="C34" s="37">
        <v>94</v>
      </c>
      <c r="D34" s="38">
        <v>98</v>
      </c>
      <c r="E34" s="22">
        <f t="shared" si="6"/>
        <v>283</v>
      </c>
      <c r="F34" s="39">
        <f t="shared" si="7"/>
        <v>94.333333333333329</v>
      </c>
    </row>
    <row r="35" spans="1:10">
      <c r="A35" s="22" t="s">
        <v>130</v>
      </c>
      <c r="B35" s="37">
        <v>97</v>
      </c>
      <c r="C35" s="37">
        <v>96</v>
      </c>
      <c r="D35" s="38">
        <v>92</v>
      </c>
      <c r="E35" s="22">
        <f t="shared" si="6"/>
        <v>285</v>
      </c>
      <c r="F35" s="39">
        <f t="shared" si="7"/>
        <v>95</v>
      </c>
    </row>
    <row r="36" spans="1:10">
      <c r="A36" s="22" t="s">
        <v>127</v>
      </c>
      <c r="B36" s="37">
        <v>89</v>
      </c>
      <c r="C36" s="37">
        <v>90</v>
      </c>
      <c r="D36" s="38">
        <v>81</v>
      </c>
      <c r="E36" s="22">
        <f t="shared" si="6"/>
        <v>260</v>
      </c>
      <c r="F36" s="39">
        <f t="shared" si="7"/>
        <v>86.666666666666671</v>
      </c>
    </row>
    <row r="37" spans="1:10">
      <c r="A37" s="22" t="s">
        <v>128</v>
      </c>
      <c r="B37" s="37">
        <v>68</v>
      </c>
      <c r="C37" s="37">
        <v>76</v>
      </c>
      <c r="D37" s="38">
        <v>82</v>
      </c>
      <c r="E37" s="22">
        <f t="shared" si="6"/>
        <v>226</v>
      </c>
      <c r="F37" s="39">
        <f t="shared" si="7"/>
        <v>75.333333333333329</v>
      </c>
    </row>
    <row r="38" spans="1:10">
      <c r="A38" s="22" t="s">
        <v>131</v>
      </c>
      <c r="B38" s="37">
        <v>82</v>
      </c>
      <c r="C38" s="37">
        <v>79</v>
      </c>
      <c r="D38" s="38">
        <v>91</v>
      </c>
      <c r="E38" s="22">
        <f t="shared" si="6"/>
        <v>252</v>
      </c>
      <c r="F38" s="39">
        <f t="shared" si="7"/>
        <v>84</v>
      </c>
    </row>
    <row r="39" spans="1:10">
      <c r="A39" s="22" t="s">
        <v>132</v>
      </c>
      <c r="B39" s="37">
        <v>83</v>
      </c>
      <c r="C39" s="37">
        <v>69</v>
      </c>
      <c r="D39" s="38">
        <v>77</v>
      </c>
      <c r="E39" s="22">
        <f t="shared" si="6"/>
        <v>229</v>
      </c>
      <c r="F39" s="39">
        <f t="shared" si="7"/>
        <v>76.333333333333329</v>
      </c>
      <c r="H39" s="75" t="s">
        <v>122</v>
      </c>
      <c r="I39" s="76"/>
      <c r="J39" s="77"/>
    </row>
    <row r="40" spans="1:10">
      <c r="A40" s="22" t="s">
        <v>125</v>
      </c>
      <c r="B40" s="37">
        <v>76</v>
      </c>
      <c r="C40" s="37">
        <v>77</v>
      </c>
      <c r="D40" s="38">
        <v>64</v>
      </c>
      <c r="E40" s="22">
        <f t="shared" si="6"/>
        <v>217</v>
      </c>
      <c r="F40" s="39">
        <f t="shared" si="7"/>
        <v>72.333333333333329</v>
      </c>
      <c r="H40" s="78">
        <f t="shared" ref="H40" si="8">SUMIFS(F31:F40,C31:C40,"&gt;=90",D31:D40,"&gt;=90")/COUNTIFS(C31:C40,"&gt;=90",D31:D40,"&gt;=90")</f>
        <v>93.222222222222214</v>
      </c>
      <c r="I40" s="79"/>
      <c r="J40" s="80"/>
    </row>
  </sheetData>
  <sortState ref="H17:L26">
    <sortCondition ref="H17:H26"/>
  </sortState>
  <mergeCells count="4">
    <mergeCell ref="L14:M14"/>
    <mergeCell ref="L15:M15"/>
    <mergeCell ref="H39:J39"/>
    <mergeCell ref="H40:J40"/>
  </mergeCells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I42"/>
  <sheetViews>
    <sheetView workbookViewId="0">
      <selection sqref="A1:I1"/>
    </sheetView>
  </sheetViews>
  <sheetFormatPr defaultRowHeight="16.5"/>
  <cols>
    <col min="1" max="1" width="22.25" style="4" customWidth="1"/>
    <col min="2" max="3" width="14.875" style="4" bestFit="1" customWidth="1"/>
    <col min="4" max="4" width="16.625" style="4" bestFit="1" customWidth="1"/>
    <col min="5" max="5" width="13.25" style="4" customWidth="1"/>
    <col min="6" max="6" width="13.125" style="4" customWidth="1"/>
    <col min="7" max="7" width="15.25" style="4" bestFit="1" customWidth="1"/>
    <col min="8" max="8" width="18" style="4" bestFit="1" customWidth="1"/>
    <col min="9" max="9" width="20.125" style="4" bestFit="1" customWidth="1"/>
    <col min="10" max="10" width="9.5" style="4" bestFit="1" customWidth="1"/>
    <col min="11" max="18" width="10.5" style="4" bestFit="1" customWidth="1"/>
    <col min="19" max="20" width="11.625" style="4" bestFit="1" customWidth="1"/>
    <col min="21" max="16384" width="9" style="4"/>
  </cols>
  <sheetData>
    <row r="1" spans="1:9" ht="20.25">
      <c r="A1" s="81" t="s">
        <v>155</v>
      </c>
      <c r="B1" s="81"/>
      <c r="C1" s="81"/>
      <c r="D1" s="81"/>
      <c r="E1" s="81"/>
      <c r="F1" s="81"/>
      <c r="G1" s="81"/>
      <c r="H1" s="81"/>
      <c r="I1" s="81"/>
    </row>
    <row r="2" spans="1:9">
      <c r="A2" s="40"/>
      <c r="B2" s="40"/>
      <c r="C2" s="40"/>
      <c r="D2" s="40"/>
      <c r="E2" s="40"/>
      <c r="F2" s="40"/>
      <c r="G2" s="40"/>
      <c r="H2" s="40"/>
      <c r="I2" s="40"/>
    </row>
    <row r="3" spans="1:9">
      <c r="A3" s="27" t="s">
        <v>133</v>
      </c>
      <c r="B3" s="27" t="s">
        <v>137</v>
      </c>
      <c r="C3" s="27" t="s">
        <v>143</v>
      </c>
      <c r="D3" s="27" t="s">
        <v>144</v>
      </c>
      <c r="E3" s="27" t="s">
        <v>146</v>
      </c>
      <c r="F3" s="27" t="s">
        <v>145</v>
      </c>
      <c r="G3" s="27" t="s">
        <v>149</v>
      </c>
      <c r="H3" s="27" t="s">
        <v>147</v>
      </c>
      <c r="I3" s="27" t="s">
        <v>148</v>
      </c>
    </row>
    <row r="4" spans="1:9">
      <c r="A4" s="22" t="s">
        <v>134</v>
      </c>
      <c r="B4" s="22" t="s">
        <v>138</v>
      </c>
      <c r="C4" s="22" t="s">
        <v>150</v>
      </c>
      <c r="D4" s="41">
        <v>15000</v>
      </c>
      <c r="E4" s="38">
        <v>30000</v>
      </c>
      <c r="F4" s="38">
        <v>21023</v>
      </c>
      <c r="G4" s="41">
        <v>35000000</v>
      </c>
      <c r="H4" s="41">
        <v>33000000</v>
      </c>
      <c r="I4" s="41">
        <f t="shared" ref="I4:I18" si="0">ROUND(D4*F4-G4-H4,-5)</f>
        <v>247300000</v>
      </c>
    </row>
    <row r="5" spans="1:9">
      <c r="A5" s="22" t="s">
        <v>135</v>
      </c>
      <c r="B5" s="22" t="s">
        <v>139</v>
      </c>
      <c r="C5" s="22" t="s">
        <v>151</v>
      </c>
      <c r="D5" s="41">
        <v>27000</v>
      </c>
      <c r="E5" s="38">
        <v>30000</v>
      </c>
      <c r="F5" s="38">
        <v>22015</v>
      </c>
      <c r="G5" s="41">
        <v>25000000</v>
      </c>
      <c r="H5" s="41">
        <v>36000000</v>
      </c>
      <c r="I5" s="41">
        <f t="shared" si="0"/>
        <v>533400000</v>
      </c>
    </row>
    <row r="6" spans="1:9">
      <c r="A6" s="22" t="s">
        <v>136</v>
      </c>
      <c r="B6" s="22" t="s">
        <v>138</v>
      </c>
      <c r="C6" s="22" t="s">
        <v>150</v>
      </c>
      <c r="D6" s="41">
        <v>21000</v>
      </c>
      <c r="E6" s="38">
        <v>20000</v>
      </c>
      <c r="F6" s="38">
        <v>13521</v>
      </c>
      <c r="G6" s="41">
        <v>30000000</v>
      </c>
      <c r="H6" s="41">
        <v>33000000</v>
      </c>
      <c r="I6" s="41">
        <f t="shared" si="0"/>
        <v>220900000</v>
      </c>
    </row>
    <row r="7" spans="1:9">
      <c r="A7" s="22" t="s">
        <v>135</v>
      </c>
      <c r="B7" s="22" t="s">
        <v>140</v>
      </c>
      <c r="C7" s="22" t="s">
        <v>154</v>
      </c>
      <c r="D7" s="41">
        <v>27000</v>
      </c>
      <c r="E7" s="38">
        <v>30000</v>
      </c>
      <c r="F7" s="38">
        <v>23122</v>
      </c>
      <c r="G7" s="41">
        <v>25000000</v>
      </c>
      <c r="H7" s="41">
        <v>34000000</v>
      </c>
      <c r="I7" s="41">
        <f t="shared" si="0"/>
        <v>565300000</v>
      </c>
    </row>
    <row r="8" spans="1:9">
      <c r="A8" s="22" t="s">
        <v>136</v>
      </c>
      <c r="B8" s="22" t="s">
        <v>139</v>
      </c>
      <c r="C8" s="22" t="s">
        <v>151</v>
      </c>
      <c r="D8" s="41">
        <v>21000</v>
      </c>
      <c r="E8" s="38">
        <v>18000</v>
      </c>
      <c r="F8" s="38">
        <v>9532</v>
      </c>
      <c r="G8" s="41">
        <v>30000000</v>
      </c>
      <c r="H8" s="41">
        <v>36000000</v>
      </c>
      <c r="I8" s="41">
        <f t="shared" si="0"/>
        <v>134200000</v>
      </c>
    </row>
    <row r="9" spans="1:9">
      <c r="A9" s="22" t="s">
        <v>136</v>
      </c>
      <c r="B9" s="22" t="s">
        <v>140</v>
      </c>
      <c r="C9" s="22" t="s">
        <v>154</v>
      </c>
      <c r="D9" s="41">
        <v>21000</v>
      </c>
      <c r="E9" s="38">
        <v>17000</v>
      </c>
      <c r="F9" s="38">
        <v>11468</v>
      </c>
      <c r="G9" s="41">
        <v>30000000</v>
      </c>
      <c r="H9" s="41">
        <v>34000000</v>
      </c>
      <c r="I9" s="41">
        <f t="shared" si="0"/>
        <v>176800000</v>
      </c>
    </row>
    <row r="10" spans="1:9">
      <c r="A10" s="22" t="s">
        <v>134</v>
      </c>
      <c r="B10" s="22" t="s">
        <v>142</v>
      </c>
      <c r="C10" s="22" t="s">
        <v>152</v>
      </c>
      <c r="D10" s="41">
        <v>15000</v>
      </c>
      <c r="E10" s="38">
        <v>23000</v>
      </c>
      <c r="F10" s="38">
        <v>11023</v>
      </c>
      <c r="G10" s="41">
        <v>35000000</v>
      </c>
      <c r="H10" s="41">
        <v>33500000</v>
      </c>
      <c r="I10" s="41">
        <f t="shared" si="0"/>
        <v>96800000</v>
      </c>
    </row>
    <row r="11" spans="1:9">
      <c r="A11" s="22" t="s">
        <v>135</v>
      </c>
      <c r="B11" s="22" t="s">
        <v>141</v>
      </c>
      <c r="C11" s="22" t="s">
        <v>153</v>
      </c>
      <c r="D11" s="41">
        <v>27000</v>
      </c>
      <c r="E11" s="38">
        <v>25000</v>
      </c>
      <c r="F11" s="38">
        <v>16532</v>
      </c>
      <c r="G11" s="41">
        <v>25000000</v>
      </c>
      <c r="H11" s="41">
        <v>34500000</v>
      </c>
      <c r="I11" s="41">
        <f t="shared" si="0"/>
        <v>386900000</v>
      </c>
    </row>
    <row r="12" spans="1:9">
      <c r="A12" s="22" t="s">
        <v>134</v>
      </c>
      <c r="B12" s="22" t="s">
        <v>141</v>
      </c>
      <c r="C12" s="22" t="s">
        <v>153</v>
      </c>
      <c r="D12" s="41">
        <v>15000</v>
      </c>
      <c r="E12" s="38">
        <v>18000</v>
      </c>
      <c r="F12" s="38">
        <v>9368</v>
      </c>
      <c r="G12" s="41">
        <v>35000000</v>
      </c>
      <c r="H12" s="41">
        <v>34500000</v>
      </c>
      <c r="I12" s="41">
        <f t="shared" si="0"/>
        <v>71000000</v>
      </c>
    </row>
    <row r="13" spans="1:9">
      <c r="A13" s="22" t="s">
        <v>134</v>
      </c>
      <c r="B13" s="22" t="s">
        <v>139</v>
      </c>
      <c r="C13" s="22" t="s">
        <v>151</v>
      </c>
      <c r="D13" s="41">
        <v>15000</v>
      </c>
      <c r="E13" s="38">
        <v>25000</v>
      </c>
      <c r="F13" s="38">
        <v>14038</v>
      </c>
      <c r="G13" s="41">
        <v>35000000</v>
      </c>
      <c r="H13" s="41">
        <v>36000000</v>
      </c>
      <c r="I13" s="41">
        <f t="shared" si="0"/>
        <v>139600000</v>
      </c>
    </row>
    <row r="14" spans="1:9">
      <c r="A14" s="22" t="s">
        <v>134</v>
      </c>
      <c r="B14" s="22" t="s">
        <v>140</v>
      </c>
      <c r="C14" s="22" t="s">
        <v>154</v>
      </c>
      <c r="D14" s="41">
        <v>15000</v>
      </c>
      <c r="E14" s="38">
        <v>20000</v>
      </c>
      <c r="F14" s="38">
        <v>10015</v>
      </c>
      <c r="G14" s="41">
        <v>35000000</v>
      </c>
      <c r="H14" s="41">
        <v>34000000</v>
      </c>
      <c r="I14" s="41">
        <f t="shared" si="0"/>
        <v>81200000</v>
      </c>
    </row>
    <row r="15" spans="1:9">
      <c r="A15" s="22" t="s">
        <v>136</v>
      </c>
      <c r="B15" s="22" t="s">
        <v>141</v>
      </c>
      <c r="C15" s="22" t="s">
        <v>153</v>
      </c>
      <c r="D15" s="41">
        <v>21000</v>
      </c>
      <c r="E15" s="38">
        <v>15000</v>
      </c>
      <c r="F15" s="38">
        <v>6358</v>
      </c>
      <c r="G15" s="41">
        <v>30000000</v>
      </c>
      <c r="H15" s="41">
        <v>34500000</v>
      </c>
      <c r="I15" s="41">
        <f t="shared" si="0"/>
        <v>69000000</v>
      </c>
    </row>
    <row r="16" spans="1:9">
      <c r="A16" s="22" t="s">
        <v>135</v>
      </c>
      <c r="B16" s="22" t="s">
        <v>138</v>
      </c>
      <c r="C16" s="22" t="s">
        <v>150</v>
      </c>
      <c r="D16" s="41">
        <v>27000</v>
      </c>
      <c r="E16" s="38">
        <v>35000</v>
      </c>
      <c r="F16" s="38">
        <v>23253</v>
      </c>
      <c r="G16" s="41">
        <v>25000000</v>
      </c>
      <c r="H16" s="41">
        <v>33000000</v>
      </c>
      <c r="I16" s="41">
        <f t="shared" si="0"/>
        <v>569800000</v>
      </c>
    </row>
    <row r="17" spans="1:9">
      <c r="A17" s="22" t="s">
        <v>135</v>
      </c>
      <c r="B17" s="22" t="s">
        <v>142</v>
      </c>
      <c r="C17" s="22" t="s">
        <v>152</v>
      </c>
      <c r="D17" s="41">
        <v>27000</v>
      </c>
      <c r="E17" s="38">
        <v>28000</v>
      </c>
      <c r="F17" s="38">
        <v>19535</v>
      </c>
      <c r="G17" s="41">
        <v>25000000</v>
      </c>
      <c r="H17" s="41">
        <v>33500000</v>
      </c>
      <c r="I17" s="41">
        <f t="shared" si="0"/>
        <v>468900000</v>
      </c>
    </row>
    <row r="18" spans="1:9">
      <c r="A18" s="22" t="s">
        <v>136</v>
      </c>
      <c r="B18" s="22" t="s">
        <v>142</v>
      </c>
      <c r="C18" s="22" t="s">
        <v>152</v>
      </c>
      <c r="D18" s="41">
        <v>21000</v>
      </c>
      <c r="E18" s="38">
        <v>18000</v>
      </c>
      <c r="F18" s="38">
        <v>10214</v>
      </c>
      <c r="G18" s="41">
        <v>30000000</v>
      </c>
      <c r="H18" s="41">
        <v>33500000</v>
      </c>
      <c r="I18" s="41">
        <f t="shared" si="0"/>
        <v>151000000</v>
      </c>
    </row>
    <row r="20" spans="1:9">
      <c r="A20"/>
      <c r="B20"/>
      <c r="C20"/>
    </row>
    <row r="21" spans="1:9">
      <c r="A21"/>
      <c r="B21"/>
      <c r="C21"/>
      <c r="D21"/>
      <c r="E21"/>
    </row>
    <row r="22" spans="1:9">
      <c r="A22" s="56" t="s">
        <v>261</v>
      </c>
      <c r="B22" t="s">
        <v>262</v>
      </c>
      <c r="C22"/>
      <c r="D22"/>
      <c r="E22"/>
    </row>
    <row r="23" spans="1:9">
      <c r="A23"/>
      <c r="B23"/>
      <c r="C23"/>
      <c r="D23"/>
      <c r="E23"/>
    </row>
    <row r="24" spans="1:9">
      <c r="A24"/>
      <c r="B24" s="56" t="s">
        <v>270</v>
      </c>
      <c r="C24"/>
      <c r="D24"/>
      <c r="E24"/>
      <c r="F24"/>
      <c r="G24"/>
      <c r="H24"/>
      <c r="I24"/>
    </row>
    <row r="25" spans="1:9">
      <c r="A25" s="56" t="s">
        <v>263</v>
      </c>
      <c r="B25" t="s">
        <v>271</v>
      </c>
      <c r="C25" t="s">
        <v>272</v>
      </c>
      <c r="D25" t="s">
        <v>273</v>
      </c>
      <c r="E25"/>
      <c r="F25"/>
      <c r="G25"/>
      <c r="H25"/>
      <c r="I25"/>
    </row>
    <row r="26" spans="1:9">
      <c r="A26" s="57" t="s">
        <v>264</v>
      </c>
      <c r="B26" s="5"/>
      <c r="C26" s="5"/>
      <c r="D26" s="5"/>
      <c r="E26"/>
      <c r="F26"/>
      <c r="G26"/>
      <c r="H26"/>
      <c r="I26"/>
    </row>
    <row r="27" spans="1:9">
      <c r="A27" s="58" t="s">
        <v>276</v>
      </c>
      <c r="B27" s="59">
        <v>21000</v>
      </c>
      <c r="C27" s="59">
        <v>15000</v>
      </c>
      <c r="D27" s="59">
        <v>27000</v>
      </c>
      <c r="E27"/>
      <c r="F27"/>
      <c r="G27"/>
      <c r="H27"/>
      <c r="I27"/>
    </row>
    <row r="28" spans="1:9">
      <c r="A28" s="58" t="s">
        <v>275</v>
      </c>
      <c r="B28" s="59">
        <v>69000000</v>
      </c>
      <c r="C28" s="59">
        <v>71000000</v>
      </c>
      <c r="D28" s="59">
        <v>386900000</v>
      </c>
      <c r="E28"/>
      <c r="F28"/>
      <c r="G28"/>
      <c r="H28"/>
      <c r="I28"/>
    </row>
    <row r="29" spans="1:9">
      <c r="A29" s="57" t="s">
        <v>265</v>
      </c>
      <c r="B29" s="59"/>
      <c r="C29" s="59"/>
      <c r="D29" s="59"/>
      <c r="E29"/>
      <c r="F29"/>
      <c r="G29"/>
      <c r="H29"/>
      <c r="I29"/>
    </row>
    <row r="30" spans="1:9">
      <c r="A30" s="58" t="s">
        <v>276</v>
      </c>
      <c r="B30" s="59">
        <v>21000</v>
      </c>
      <c r="C30" s="59">
        <v>15000</v>
      </c>
      <c r="D30" s="59">
        <v>27000</v>
      </c>
      <c r="E30"/>
      <c r="F30"/>
      <c r="G30"/>
      <c r="H30"/>
      <c r="I30"/>
    </row>
    <row r="31" spans="1:9">
      <c r="A31" s="58" t="s">
        <v>275</v>
      </c>
      <c r="B31" s="59">
        <v>151000000</v>
      </c>
      <c r="C31" s="59">
        <v>96800000</v>
      </c>
      <c r="D31" s="59">
        <v>468900000</v>
      </c>
      <c r="E31"/>
      <c r="F31"/>
      <c r="G31"/>
      <c r="H31"/>
      <c r="I31"/>
    </row>
    <row r="32" spans="1:9">
      <c r="A32" s="57" t="s">
        <v>266</v>
      </c>
      <c r="B32" s="59"/>
      <c r="C32" s="59"/>
      <c r="D32" s="59"/>
      <c r="E32"/>
      <c r="F32"/>
      <c r="G32"/>
      <c r="H32"/>
      <c r="I32"/>
    </row>
    <row r="33" spans="1:5">
      <c r="A33" s="58" t="s">
        <v>276</v>
      </c>
      <c r="B33" s="59">
        <v>21000</v>
      </c>
      <c r="C33" s="59">
        <v>15000</v>
      </c>
      <c r="D33" s="59">
        <v>27000</v>
      </c>
      <c r="E33"/>
    </row>
    <row r="34" spans="1:5">
      <c r="A34" s="58" t="s">
        <v>275</v>
      </c>
      <c r="B34" s="59">
        <v>176800000</v>
      </c>
      <c r="C34" s="59">
        <v>81200000</v>
      </c>
      <c r="D34" s="59">
        <v>565300000</v>
      </c>
      <c r="E34"/>
    </row>
    <row r="35" spans="1:5">
      <c r="A35" s="57" t="s">
        <v>267</v>
      </c>
      <c r="B35" s="59"/>
      <c r="C35" s="59"/>
      <c r="D35" s="59"/>
      <c r="E35"/>
    </row>
    <row r="36" spans="1:5">
      <c r="A36" s="58" t="s">
        <v>276</v>
      </c>
      <c r="B36" s="59">
        <v>21000</v>
      </c>
      <c r="C36" s="59">
        <v>15000</v>
      </c>
      <c r="D36" s="59">
        <v>27000</v>
      </c>
      <c r="E36"/>
    </row>
    <row r="37" spans="1:5">
      <c r="A37" s="58" t="s">
        <v>275</v>
      </c>
      <c r="B37" s="59">
        <v>134200000</v>
      </c>
      <c r="C37" s="59">
        <v>139600000</v>
      </c>
      <c r="D37" s="59">
        <v>533400000</v>
      </c>
      <c r="E37"/>
    </row>
    <row r="38" spans="1:5">
      <c r="A38" s="57" t="s">
        <v>268</v>
      </c>
      <c r="B38" s="59"/>
      <c r="C38" s="59"/>
      <c r="D38" s="59"/>
      <c r="E38"/>
    </row>
    <row r="39" spans="1:5">
      <c r="A39" s="58" t="s">
        <v>276</v>
      </c>
      <c r="B39" s="59">
        <v>21000</v>
      </c>
      <c r="C39" s="59">
        <v>15000</v>
      </c>
      <c r="D39" s="59">
        <v>27000</v>
      </c>
      <c r="E39"/>
    </row>
    <row r="40" spans="1:5">
      <c r="A40" s="58" t="s">
        <v>275</v>
      </c>
      <c r="B40" s="59">
        <v>220900000</v>
      </c>
      <c r="C40" s="59">
        <v>247300000</v>
      </c>
      <c r="D40" s="59">
        <v>569800000</v>
      </c>
      <c r="E40"/>
    </row>
    <row r="41" spans="1:5">
      <c r="A41" s="57" t="s">
        <v>277</v>
      </c>
      <c r="B41" s="59">
        <v>21000</v>
      </c>
      <c r="C41" s="59">
        <v>15000</v>
      </c>
      <c r="D41" s="59">
        <v>27000</v>
      </c>
      <c r="E41"/>
    </row>
    <row r="42" spans="1:5">
      <c r="A42" s="57" t="s">
        <v>274</v>
      </c>
      <c r="B42" s="59">
        <v>751900000</v>
      </c>
      <c r="C42" s="59">
        <v>635900000</v>
      </c>
      <c r="D42" s="59">
        <v>2524300000</v>
      </c>
      <c r="E42"/>
    </row>
  </sheetData>
  <sortState ref="A4:H21">
    <sortCondition descending="1" ref="B4:B21"/>
  </sortState>
  <dataConsolidate function="average" topLabels="1">
    <dataRefs count="3">
      <dataRef ref="A2:F9" sheet="분석작업-1"/>
      <dataRef ref="H2:M9" sheet="분석작업-1"/>
      <dataRef ref="A12:F19" sheet="분석작업-1"/>
    </dataRefs>
  </dataConsolidate>
  <mergeCells count="1">
    <mergeCell ref="A1:I1"/>
  </mergeCells>
  <phoneticPr fontId="1" type="noConversion"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H29"/>
  <sheetViews>
    <sheetView workbookViewId="0">
      <selection sqref="A1:H1"/>
    </sheetView>
  </sheetViews>
  <sheetFormatPr defaultRowHeight="16.5" outlineLevelRow="3"/>
  <cols>
    <col min="1" max="1" width="12.75" style="4" bestFit="1" customWidth="1"/>
    <col min="2" max="5" width="9" style="4"/>
    <col min="6" max="6" width="10.875" style="4" bestFit="1" customWidth="1"/>
    <col min="7" max="7" width="9" style="4"/>
    <col min="8" max="8" width="11.875" style="4" bestFit="1" customWidth="1"/>
    <col min="9" max="16384" width="9" style="4"/>
  </cols>
  <sheetData>
    <row r="1" spans="1:8" ht="20.25">
      <c r="A1" s="82" t="s">
        <v>156</v>
      </c>
      <c r="B1" s="82"/>
      <c r="C1" s="82"/>
      <c r="D1" s="82"/>
      <c r="E1" s="82"/>
      <c r="F1" s="82"/>
      <c r="G1" s="82"/>
      <c r="H1" s="82"/>
    </row>
    <row r="3" spans="1:8">
      <c r="A3" s="22" t="s">
        <v>157</v>
      </c>
      <c r="B3" s="22" t="s">
        <v>158</v>
      </c>
      <c r="C3" s="22" t="s">
        <v>171</v>
      </c>
      <c r="D3" s="22" t="s">
        <v>169</v>
      </c>
      <c r="E3" s="22" t="s">
        <v>172</v>
      </c>
      <c r="F3" s="22" t="s">
        <v>167</v>
      </c>
      <c r="G3" s="22" t="s">
        <v>168</v>
      </c>
      <c r="H3" s="22" t="s">
        <v>170</v>
      </c>
    </row>
    <row r="4" spans="1:8" outlineLevel="3">
      <c r="A4" s="22" t="s">
        <v>159</v>
      </c>
      <c r="B4" s="22" t="s">
        <v>160</v>
      </c>
      <c r="C4" s="41">
        <v>50</v>
      </c>
      <c r="D4" s="41">
        <v>29</v>
      </c>
      <c r="E4" s="41">
        <f>C4-D4</f>
        <v>21</v>
      </c>
      <c r="F4" s="41">
        <v>2000000</v>
      </c>
      <c r="G4" s="42">
        <v>0.05</v>
      </c>
      <c r="H4" s="41">
        <f>D4*F4-D4*F4*G4</f>
        <v>55100000</v>
      </c>
    </row>
    <row r="5" spans="1:8" outlineLevel="3">
      <c r="A5" s="22" t="s">
        <v>159</v>
      </c>
      <c r="B5" s="22" t="s">
        <v>163</v>
      </c>
      <c r="C5" s="41">
        <v>100</v>
      </c>
      <c r="D5" s="41">
        <v>72</v>
      </c>
      <c r="E5" s="41">
        <f>C5-D5</f>
        <v>28</v>
      </c>
      <c r="F5" s="41">
        <v>1000000</v>
      </c>
      <c r="G5" s="42">
        <v>0.03</v>
      </c>
      <c r="H5" s="41">
        <f>D5*F5-D5*F5*G5</f>
        <v>69840000</v>
      </c>
    </row>
    <row r="6" spans="1:8" outlineLevel="3">
      <c r="A6" s="22" t="s">
        <v>159</v>
      </c>
      <c r="B6" s="22" t="s">
        <v>162</v>
      </c>
      <c r="C6" s="41">
        <v>100</v>
      </c>
      <c r="D6" s="41">
        <v>88</v>
      </c>
      <c r="E6" s="41">
        <f>C6-D6</f>
        <v>12</v>
      </c>
      <c r="F6" s="41">
        <v>1200000</v>
      </c>
      <c r="G6" s="42">
        <v>0.03</v>
      </c>
      <c r="H6" s="41">
        <f>D6*F6-D6*F6*G6</f>
        <v>102432000</v>
      </c>
    </row>
    <row r="7" spans="1:8" outlineLevel="3">
      <c r="A7" s="22" t="s">
        <v>159</v>
      </c>
      <c r="B7" s="22" t="s">
        <v>161</v>
      </c>
      <c r="C7" s="41">
        <v>80</v>
      </c>
      <c r="D7" s="41">
        <v>65</v>
      </c>
      <c r="E7" s="41">
        <f>C7-D7</f>
        <v>15</v>
      </c>
      <c r="F7" s="41">
        <v>1600000</v>
      </c>
      <c r="G7" s="42">
        <v>0.04</v>
      </c>
      <c r="H7" s="41">
        <f>D7*F7-D7*F7*G7</f>
        <v>99840000</v>
      </c>
    </row>
    <row r="8" spans="1:8" outlineLevel="2">
      <c r="A8" s="60" t="s">
        <v>282</v>
      </c>
      <c r="B8" s="22"/>
      <c r="C8" s="41"/>
      <c r="D8" s="41"/>
      <c r="E8" s="41"/>
      <c r="F8" s="41"/>
      <c r="G8" s="42"/>
      <c r="H8" s="41">
        <f>SUBTOTAL(1,H4:H7)</f>
        <v>81803000</v>
      </c>
    </row>
    <row r="9" spans="1:8" outlineLevel="1">
      <c r="A9" s="60" t="s">
        <v>278</v>
      </c>
      <c r="B9" s="22"/>
      <c r="C9" s="41"/>
      <c r="D9" s="41">
        <f>SUBTOTAL(9,D4:D7)</f>
        <v>254</v>
      </c>
      <c r="E9" s="41"/>
      <c r="F9" s="41"/>
      <c r="G9" s="42"/>
      <c r="H9" s="41"/>
    </row>
    <row r="10" spans="1:8" outlineLevel="3">
      <c r="A10" s="22" t="s">
        <v>164</v>
      </c>
      <c r="B10" s="22" t="s">
        <v>160</v>
      </c>
      <c r="C10" s="41">
        <v>50</v>
      </c>
      <c r="D10" s="41">
        <v>39</v>
      </c>
      <c r="E10" s="41">
        <f>C10-D10</f>
        <v>11</v>
      </c>
      <c r="F10" s="41">
        <v>2400000</v>
      </c>
      <c r="G10" s="42">
        <v>0.05</v>
      </c>
      <c r="H10" s="41">
        <f>D10*F10-D10*F10*G10</f>
        <v>88920000</v>
      </c>
    </row>
    <row r="11" spans="1:8" outlineLevel="3">
      <c r="A11" s="22" t="s">
        <v>164</v>
      </c>
      <c r="B11" s="22" t="s">
        <v>163</v>
      </c>
      <c r="C11" s="41">
        <v>100</v>
      </c>
      <c r="D11" s="41">
        <v>89</v>
      </c>
      <c r="E11" s="41">
        <f>C11-D11</f>
        <v>11</v>
      </c>
      <c r="F11" s="41">
        <v>1200000</v>
      </c>
      <c r="G11" s="42">
        <v>0.03</v>
      </c>
      <c r="H11" s="41">
        <f>D11*F11-D11*F11*G11</f>
        <v>103596000</v>
      </c>
    </row>
    <row r="12" spans="1:8" outlineLevel="3">
      <c r="A12" s="22" t="s">
        <v>164</v>
      </c>
      <c r="B12" s="22" t="s">
        <v>162</v>
      </c>
      <c r="C12" s="41">
        <v>100</v>
      </c>
      <c r="D12" s="41">
        <v>76</v>
      </c>
      <c r="E12" s="41">
        <f>C12-D12</f>
        <v>24</v>
      </c>
      <c r="F12" s="41">
        <v>1500000</v>
      </c>
      <c r="G12" s="42">
        <v>0.03</v>
      </c>
      <c r="H12" s="41">
        <f>D12*F12-D12*F12*G12</f>
        <v>110580000</v>
      </c>
    </row>
    <row r="13" spans="1:8" outlineLevel="3">
      <c r="A13" s="22" t="s">
        <v>164</v>
      </c>
      <c r="B13" s="22" t="s">
        <v>161</v>
      </c>
      <c r="C13" s="41">
        <v>80</v>
      </c>
      <c r="D13" s="41">
        <v>64</v>
      </c>
      <c r="E13" s="41">
        <f>C13-D13</f>
        <v>16</v>
      </c>
      <c r="F13" s="41">
        <v>2000000</v>
      </c>
      <c r="G13" s="42">
        <v>0.04</v>
      </c>
      <c r="H13" s="41">
        <f>D13*F13-D13*F13*G13</f>
        <v>122880000</v>
      </c>
    </row>
    <row r="14" spans="1:8" outlineLevel="2">
      <c r="A14" s="61" t="s">
        <v>283</v>
      </c>
      <c r="B14" s="22"/>
      <c r="C14" s="41"/>
      <c r="D14" s="41"/>
      <c r="E14" s="41"/>
      <c r="F14" s="41"/>
      <c r="G14" s="42"/>
      <c r="H14" s="41">
        <f>SUBTOTAL(1,H10:H13)</f>
        <v>106494000</v>
      </c>
    </row>
    <row r="15" spans="1:8" outlineLevel="1">
      <c r="A15" s="61" t="s">
        <v>279</v>
      </c>
      <c r="B15" s="22"/>
      <c r="C15" s="41"/>
      <c r="D15" s="41">
        <f>SUBTOTAL(9,D10:D13)</f>
        <v>268</v>
      </c>
      <c r="E15" s="41"/>
      <c r="F15" s="41"/>
      <c r="G15" s="42"/>
      <c r="H15" s="41"/>
    </row>
    <row r="16" spans="1:8" outlineLevel="3">
      <c r="A16" s="22" t="s">
        <v>165</v>
      </c>
      <c r="B16" s="22" t="s">
        <v>160</v>
      </c>
      <c r="C16" s="41">
        <v>50</v>
      </c>
      <c r="D16" s="41">
        <v>28</v>
      </c>
      <c r="E16" s="41">
        <f>C16-D16</f>
        <v>22</v>
      </c>
      <c r="F16" s="41">
        <v>1600000</v>
      </c>
      <c r="G16" s="42">
        <v>0.05</v>
      </c>
      <c r="H16" s="41">
        <f>D16*F16-D16*F16*G16</f>
        <v>42560000</v>
      </c>
    </row>
    <row r="17" spans="1:8" outlineLevel="3">
      <c r="A17" s="22" t="s">
        <v>165</v>
      </c>
      <c r="B17" s="22" t="s">
        <v>163</v>
      </c>
      <c r="C17" s="41">
        <v>100</v>
      </c>
      <c r="D17" s="41">
        <v>93</v>
      </c>
      <c r="E17" s="41">
        <f>C17-D17</f>
        <v>7</v>
      </c>
      <c r="F17" s="41">
        <v>600000</v>
      </c>
      <c r="G17" s="42">
        <v>0.03</v>
      </c>
      <c r="H17" s="41">
        <f>D17*F17-D17*F17*G17</f>
        <v>54126000</v>
      </c>
    </row>
    <row r="18" spans="1:8" outlineLevel="3">
      <c r="A18" s="22" t="s">
        <v>165</v>
      </c>
      <c r="B18" s="22" t="s">
        <v>162</v>
      </c>
      <c r="C18" s="41">
        <v>100</v>
      </c>
      <c r="D18" s="41">
        <v>95</v>
      </c>
      <c r="E18" s="41">
        <f>C18-D18</f>
        <v>5</v>
      </c>
      <c r="F18" s="41">
        <v>800000</v>
      </c>
      <c r="G18" s="42">
        <v>0.03</v>
      </c>
      <c r="H18" s="41">
        <f>D18*F18-D18*F18*G18</f>
        <v>73720000</v>
      </c>
    </row>
    <row r="19" spans="1:8" outlineLevel="3">
      <c r="A19" s="22" t="s">
        <v>165</v>
      </c>
      <c r="B19" s="22" t="s">
        <v>161</v>
      </c>
      <c r="C19" s="41">
        <v>80</v>
      </c>
      <c r="D19" s="41">
        <v>77</v>
      </c>
      <c r="E19" s="41">
        <f>C19-D19</f>
        <v>3</v>
      </c>
      <c r="F19" s="41">
        <v>1200000</v>
      </c>
      <c r="G19" s="42">
        <v>0.04</v>
      </c>
      <c r="H19" s="41">
        <f>D19*F19-D19*F19*G19</f>
        <v>88704000</v>
      </c>
    </row>
    <row r="20" spans="1:8" outlineLevel="2">
      <c r="A20" s="61" t="s">
        <v>284</v>
      </c>
      <c r="B20" s="22"/>
      <c r="C20" s="41"/>
      <c r="D20" s="41"/>
      <c r="E20" s="41"/>
      <c r="F20" s="41"/>
      <c r="G20" s="42"/>
      <c r="H20" s="41">
        <f>SUBTOTAL(1,H16:H19)</f>
        <v>64777500</v>
      </c>
    </row>
    <row r="21" spans="1:8" outlineLevel="1">
      <c r="A21" s="61" t="s">
        <v>280</v>
      </c>
      <c r="B21" s="22"/>
      <c r="C21" s="41"/>
      <c r="D21" s="41">
        <f>SUBTOTAL(9,D16:D19)</f>
        <v>293</v>
      </c>
      <c r="E21" s="41"/>
      <c r="F21" s="41"/>
      <c r="G21" s="42"/>
      <c r="H21" s="41"/>
    </row>
    <row r="22" spans="1:8" outlineLevel="3">
      <c r="A22" s="22" t="s">
        <v>166</v>
      </c>
      <c r="B22" s="22" t="s">
        <v>160</v>
      </c>
      <c r="C22" s="41">
        <v>50</v>
      </c>
      <c r="D22" s="41">
        <v>41</v>
      </c>
      <c r="E22" s="41">
        <f>C22-D22</f>
        <v>9</v>
      </c>
      <c r="F22" s="41">
        <v>1500000</v>
      </c>
      <c r="G22" s="42">
        <v>0.05</v>
      </c>
      <c r="H22" s="41">
        <f>D22*F22-D22*F22*G22</f>
        <v>58425000</v>
      </c>
    </row>
    <row r="23" spans="1:8" outlineLevel="3">
      <c r="A23" s="22" t="s">
        <v>166</v>
      </c>
      <c r="B23" s="22" t="s">
        <v>163</v>
      </c>
      <c r="C23" s="41">
        <v>100</v>
      </c>
      <c r="D23" s="41">
        <v>90</v>
      </c>
      <c r="E23" s="41">
        <f>C23-D23</f>
        <v>10</v>
      </c>
      <c r="F23" s="41">
        <v>750000</v>
      </c>
      <c r="G23" s="42">
        <v>0.03</v>
      </c>
      <c r="H23" s="41">
        <f>D23*F23-D23*F23*G23</f>
        <v>65475000</v>
      </c>
    </row>
    <row r="24" spans="1:8" outlineLevel="3">
      <c r="A24" s="22" t="s">
        <v>166</v>
      </c>
      <c r="B24" s="22" t="s">
        <v>162</v>
      </c>
      <c r="C24" s="41">
        <v>100</v>
      </c>
      <c r="D24" s="41">
        <v>83</v>
      </c>
      <c r="E24" s="41">
        <f>C24-D24</f>
        <v>17</v>
      </c>
      <c r="F24" s="41">
        <v>1000000</v>
      </c>
      <c r="G24" s="42">
        <v>0.03</v>
      </c>
      <c r="H24" s="41">
        <f>D24*F24-D24*F24*G24</f>
        <v>80510000</v>
      </c>
    </row>
    <row r="25" spans="1:8" outlineLevel="3">
      <c r="A25" s="22" t="s">
        <v>166</v>
      </c>
      <c r="B25" s="22" t="s">
        <v>161</v>
      </c>
      <c r="C25" s="41">
        <v>80</v>
      </c>
      <c r="D25" s="41">
        <v>68</v>
      </c>
      <c r="E25" s="41">
        <f>C25-D25</f>
        <v>12</v>
      </c>
      <c r="F25" s="41">
        <v>1200000</v>
      </c>
      <c r="G25" s="42">
        <v>0.04</v>
      </c>
      <c r="H25" s="41">
        <f>D25*F25-D25*F25*G25</f>
        <v>78336000</v>
      </c>
    </row>
    <row r="26" spans="1:8" outlineLevel="2">
      <c r="A26" s="65" t="s">
        <v>285</v>
      </c>
      <c r="B26" s="62"/>
      <c r="C26" s="63"/>
      <c r="D26" s="63"/>
      <c r="E26" s="63"/>
      <c r="F26" s="63"/>
      <c r="G26" s="64"/>
      <c r="H26" s="63">
        <f>SUBTOTAL(1,H22:H25)</f>
        <v>70686500</v>
      </c>
    </row>
    <row r="27" spans="1:8" outlineLevel="1">
      <c r="A27" s="65" t="s">
        <v>281</v>
      </c>
      <c r="B27" s="62"/>
      <c r="C27" s="63"/>
      <c r="D27" s="63">
        <f>SUBTOTAL(9,D22:D25)</f>
        <v>282</v>
      </c>
      <c r="E27" s="63"/>
      <c r="F27" s="63"/>
      <c r="G27" s="64"/>
      <c r="H27" s="63"/>
    </row>
    <row r="28" spans="1:8">
      <c r="A28" s="65" t="s">
        <v>286</v>
      </c>
      <c r="B28" s="62"/>
      <c r="C28" s="63"/>
      <c r="D28" s="63"/>
      <c r="E28" s="63"/>
      <c r="F28" s="63"/>
      <c r="G28" s="64"/>
      <c r="H28" s="63">
        <f>SUBTOTAL(1,H4:H25)</f>
        <v>80940250</v>
      </c>
    </row>
    <row r="29" spans="1:8">
      <c r="A29" s="65" t="s">
        <v>269</v>
      </c>
      <c r="B29" s="62"/>
      <c r="C29" s="63"/>
      <c r="D29" s="63">
        <f>SUBTOTAL(9,D4:D25)</f>
        <v>1097</v>
      </c>
      <c r="E29" s="63"/>
      <c r="F29" s="63"/>
      <c r="G29" s="64"/>
      <c r="H29" s="63"/>
    </row>
  </sheetData>
  <sortState ref="A4:H19">
    <sortCondition ref="A4:A19"/>
  </sortState>
  <mergeCells count="1">
    <mergeCell ref="A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G15"/>
  <sheetViews>
    <sheetView workbookViewId="0">
      <selection sqref="A1:G1"/>
    </sheetView>
  </sheetViews>
  <sheetFormatPr defaultRowHeight="16.5"/>
  <cols>
    <col min="1" max="1" width="13" style="1" bestFit="1" customWidth="1"/>
    <col min="2" max="2" width="9.375" style="1" bestFit="1" customWidth="1"/>
    <col min="3" max="3" width="9.125" style="1" bestFit="1" customWidth="1"/>
    <col min="4" max="4" width="11.875" style="1" bestFit="1" customWidth="1"/>
    <col min="5" max="5" width="11.125" style="1" bestFit="1" customWidth="1"/>
    <col min="6" max="6" width="11.875" style="1" bestFit="1" customWidth="1"/>
    <col min="7" max="7" width="10.875" style="1" bestFit="1" customWidth="1"/>
    <col min="8" max="16384" width="9" style="1"/>
  </cols>
  <sheetData>
    <row r="1" spans="1:7" ht="20.25">
      <c r="A1" s="83" t="s">
        <v>180</v>
      </c>
      <c r="B1" s="83"/>
      <c r="C1" s="83"/>
      <c r="D1" s="83"/>
      <c r="E1" s="83"/>
      <c r="F1" s="83"/>
      <c r="G1" s="83"/>
    </row>
    <row r="3" spans="1:7">
      <c r="A3" s="66" t="s">
        <v>173</v>
      </c>
      <c r="B3" s="66" t="s">
        <v>174</v>
      </c>
      <c r="C3" s="67" t="s">
        <v>175</v>
      </c>
      <c r="D3" s="66" t="s">
        <v>176</v>
      </c>
      <c r="E3" s="67" t="s">
        <v>177</v>
      </c>
      <c r="F3" s="66" t="s">
        <v>178</v>
      </c>
      <c r="G3" s="66" t="s">
        <v>179</v>
      </c>
    </row>
    <row r="4" spans="1:7">
      <c r="A4" s="68" t="s">
        <v>181</v>
      </c>
      <c r="B4" s="69">
        <v>18500</v>
      </c>
      <c r="C4" s="69">
        <v>30</v>
      </c>
      <c r="D4" s="69">
        <f>B4*C4</f>
        <v>555000</v>
      </c>
      <c r="E4" s="69">
        <f>D4*0.25%</f>
        <v>1387.5</v>
      </c>
      <c r="F4" s="69">
        <v>750000</v>
      </c>
      <c r="G4" s="69">
        <f>F4-D4</f>
        <v>195000</v>
      </c>
    </row>
    <row r="5" spans="1:7">
      <c r="A5" s="68" t="s">
        <v>182</v>
      </c>
      <c r="B5" s="69">
        <v>8700</v>
      </c>
      <c r="C5" s="69">
        <v>295</v>
      </c>
      <c r="D5" s="69">
        <f t="shared" ref="D5:D15" si="0">B5*C5</f>
        <v>2566500</v>
      </c>
      <c r="E5" s="69">
        <f t="shared" ref="E5:E15" si="1">D5*0.25%</f>
        <v>6416.25</v>
      </c>
      <c r="F5" s="69">
        <v>2256750</v>
      </c>
      <c r="G5" s="69">
        <f t="shared" ref="G5:G15" si="2">F5-D5</f>
        <v>-309750</v>
      </c>
    </row>
    <row r="6" spans="1:7">
      <c r="A6" s="68" t="s">
        <v>183</v>
      </c>
      <c r="B6" s="69">
        <v>9900</v>
      </c>
      <c r="C6" s="69">
        <v>10</v>
      </c>
      <c r="D6" s="69">
        <f t="shared" si="0"/>
        <v>99000</v>
      </c>
      <c r="E6" s="69">
        <f t="shared" si="1"/>
        <v>247.5</v>
      </c>
      <c r="F6" s="69">
        <v>77000</v>
      </c>
      <c r="G6" s="69">
        <f t="shared" si="2"/>
        <v>-22000</v>
      </c>
    </row>
    <row r="7" spans="1:7">
      <c r="A7" s="68" t="s">
        <v>184</v>
      </c>
      <c r="B7" s="69">
        <v>23000</v>
      </c>
      <c r="C7" s="69">
        <v>500</v>
      </c>
      <c r="D7" s="69">
        <f t="shared" si="0"/>
        <v>11500000</v>
      </c>
      <c r="E7" s="69">
        <f t="shared" si="1"/>
        <v>28750</v>
      </c>
      <c r="F7" s="69">
        <v>12500000</v>
      </c>
      <c r="G7" s="69">
        <f t="shared" si="2"/>
        <v>1000000</v>
      </c>
    </row>
    <row r="8" spans="1:7">
      <c r="A8" s="68" t="s">
        <v>185</v>
      </c>
      <c r="B8" s="69">
        <v>125000</v>
      </c>
      <c r="C8" s="69">
        <v>30</v>
      </c>
      <c r="D8" s="69">
        <f t="shared" si="0"/>
        <v>3750000</v>
      </c>
      <c r="E8" s="69">
        <f t="shared" si="1"/>
        <v>9375</v>
      </c>
      <c r="F8" s="69">
        <v>2670000</v>
      </c>
      <c r="G8" s="69">
        <f t="shared" si="2"/>
        <v>-1080000</v>
      </c>
    </row>
    <row r="9" spans="1:7">
      <c r="A9" s="68" t="s">
        <v>186</v>
      </c>
      <c r="B9" s="69">
        <v>6600</v>
      </c>
      <c r="C9" s="69">
        <v>120</v>
      </c>
      <c r="D9" s="69">
        <f t="shared" si="0"/>
        <v>792000</v>
      </c>
      <c r="E9" s="69">
        <f t="shared" si="1"/>
        <v>1980</v>
      </c>
      <c r="F9" s="69">
        <v>1440000</v>
      </c>
      <c r="G9" s="69">
        <f t="shared" si="2"/>
        <v>648000</v>
      </c>
    </row>
    <row r="10" spans="1:7">
      <c r="A10" s="68" t="s">
        <v>187</v>
      </c>
      <c r="B10" s="69">
        <v>11000</v>
      </c>
      <c r="C10" s="69">
        <v>50</v>
      </c>
      <c r="D10" s="69">
        <f t="shared" si="0"/>
        <v>550000</v>
      </c>
      <c r="E10" s="69">
        <f t="shared" si="1"/>
        <v>1375</v>
      </c>
      <c r="F10" s="69">
        <v>675000</v>
      </c>
      <c r="G10" s="69">
        <f t="shared" si="2"/>
        <v>125000</v>
      </c>
    </row>
    <row r="11" spans="1:7">
      <c r="A11" s="68" t="s">
        <v>188</v>
      </c>
      <c r="B11" s="69">
        <v>20000</v>
      </c>
      <c r="C11" s="69">
        <v>200</v>
      </c>
      <c r="D11" s="69">
        <f t="shared" si="0"/>
        <v>4000000</v>
      </c>
      <c r="E11" s="69">
        <f t="shared" si="1"/>
        <v>10000</v>
      </c>
      <c r="F11" s="69">
        <v>4700000</v>
      </c>
      <c r="G11" s="69">
        <f t="shared" si="2"/>
        <v>700000</v>
      </c>
    </row>
    <row r="12" spans="1:7">
      <c r="A12" s="68" t="s">
        <v>189</v>
      </c>
      <c r="B12" s="69">
        <v>25500</v>
      </c>
      <c r="C12" s="69">
        <v>50</v>
      </c>
      <c r="D12" s="69">
        <f t="shared" si="0"/>
        <v>1275000</v>
      </c>
      <c r="E12" s="69">
        <f t="shared" si="1"/>
        <v>3187.5</v>
      </c>
      <c r="F12" s="69">
        <v>1350000</v>
      </c>
      <c r="G12" s="69">
        <f t="shared" si="2"/>
        <v>75000</v>
      </c>
    </row>
    <row r="13" spans="1:7">
      <c r="A13" s="68" t="s">
        <v>190</v>
      </c>
      <c r="B13" s="69">
        <v>7200</v>
      </c>
      <c r="C13" s="69">
        <v>20</v>
      </c>
      <c r="D13" s="69">
        <f t="shared" si="0"/>
        <v>144000</v>
      </c>
      <c r="E13" s="69">
        <f t="shared" si="1"/>
        <v>360</v>
      </c>
      <c r="F13" s="69">
        <v>126000</v>
      </c>
      <c r="G13" s="69">
        <f t="shared" si="2"/>
        <v>-18000</v>
      </c>
    </row>
    <row r="14" spans="1:7">
      <c r="A14" s="70" t="s">
        <v>191</v>
      </c>
      <c r="B14" s="71">
        <v>17500</v>
      </c>
      <c r="C14" s="71">
        <v>45</v>
      </c>
      <c r="D14" s="71">
        <f t="shared" si="0"/>
        <v>787500</v>
      </c>
      <c r="E14" s="71">
        <f t="shared" si="1"/>
        <v>1968.75</v>
      </c>
      <c r="F14" s="71">
        <v>780000</v>
      </c>
      <c r="G14" s="71">
        <f t="shared" si="2"/>
        <v>-7500</v>
      </c>
    </row>
    <row r="15" spans="1:7">
      <c r="A15" s="70" t="s">
        <v>192</v>
      </c>
      <c r="B15" s="71">
        <v>106000</v>
      </c>
      <c r="C15" s="71">
        <v>34</v>
      </c>
      <c r="D15" s="71">
        <f t="shared" si="0"/>
        <v>3604000</v>
      </c>
      <c r="E15" s="71">
        <f t="shared" si="1"/>
        <v>9010</v>
      </c>
      <c r="F15" s="71">
        <v>3700000</v>
      </c>
      <c r="G15" s="71">
        <f t="shared" si="2"/>
        <v>96000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G9"/>
  <sheetViews>
    <sheetView workbookViewId="0">
      <selection sqref="A1:G1"/>
    </sheetView>
  </sheetViews>
  <sheetFormatPr defaultRowHeight="16.5"/>
  <cols>
    <col min="1" max="1" width="11" bestFit="1" customWidth="1"/>
    <col min="2" max="3" width="9" customWidth="1"/>
    <col min="4" max="4" width="11.875" bestFit="1" customWidth="1"/>
    <col min="5" max="5" width="11.875" customWidth="1"/>
    <col min="6" max="6" width="10.875" bestFit="1" customWidth="1"/>
    <col min="7" max="7" width="11.875" bestFit="1" customWidth="1"/>
  </cols>
  <sheetData>
    <row r="1" spans="1:7" ht="20.25">
      <c r="A1" s="84" t="s">
        <v>205</v>
      </c>
      <c r="B1" s="84"/>
      <c r="C1" s="84"/>
      <c r="D1" s="84"/>
      <c r="E1" s="84"/>
      <c r="F1" s="84"/>
      <c r="G1" s="84"/>
    </row>
    <row r="2" spans="1:7" ht="16.5" customHeight="1">
      <c r="A2" s="43"/>
      <c r="B2" s="43"/>
      <c r="C2" s="43"/>
      <c r="D2" s="43"/>
      <c r="E2" s="43"/>
      <c r="F2" s="43"/>
      <c r="G2" s="43"/>
    </row>
    <row r="3" spans="1:7">
      <c r="A3" s="8" t="s">
        <v>196</v>
      </c>
      <c r="B3" s="8" t="s">
        <v>204</v>
      </c>
      <c r="C3" s="8" t="s">
        <v>193</v>
      </c>
      <c r="D3" s="8" t="s">
        <v>194</v>
      </c>
      <c r="E3" s="8" t="s">
        <v>206</v>
      </c>
      <c r="F3" s="8" t="s">
        <v>202</v>
      </c>
      <c r="G3" s="8" t="s">
        <v>195</v>
      </c>
    </row>
    <row r="4" spans="1:7">
      <c r="A4" s="8" t="s">
        <v>197</v>
      </c>
      <c r="B4" s="44">
        <v>1245</v>
      </c>
      <c r="C4" s="44">
        <v>11000</v>
      </c>
      <c r="D4" s="44">
        <f>B4*C4</f>
        <v>13695000</v>
      </c>
      <c r="E4" s="44">
        <f>ROUND(B4*C4*5%,-3)</f>
        <v>685000</v>
      </c>
      <c r="F4" s="44">
        <f>ROUND(D4*16%,-3)</f>
        <v>2191000</v>
      </c>
      <c r="G4" s="44">
        <f>D4-E4-F4</f>
        <v>10819000</v>
      </c>
    </row>
    <row r="5" spans="1:7">
      <c r="A5" s="8" t="s">
        <v>198</v>
      </c>
      <c r="B5" s="44">
        <v>1526</v>
      </c>
      <c r="C5" s="44">
        <v>8000</v>
      </c>
      <c r="D5" s="44">
        <f t="shared" ref="D5:D9" si="0">B5*C5</f>
        <v>12208000</v>
      </c>
      <c r="E5" s="44">
        <f t="shared" ref="E5:E9" si="1">ROUND(B5*C5*5%,-3)</f>
        <v>610000</v>
      </c>
      <c r="F5" s="44">
        <f t="shared" ref="F5:F9" si="2">ROUND(D5*16%,-3)</f>
        <v>1953000</v>
      </c>
      <c r="G5" s="44">
        <f t="shared" ref="G5:G9" si="3">D5-E5-F5</f>
        <v>9645000</v>
      </c>
    </row>
    <row r="6" spans="1:7">
      <c r="A6" s="8" t="s">
        <v>199</v>
      </c>
      <c r="B6" s="44">
        <v>1023</v>
      </c>
      <c r="C6" s="44">
        <v>10000</v>
      </c>
      <c r="D6" s="44">
        <f t="shared" si="0"/>
        <v>10230000</v>
      </c>
      <c r="E6" s="44">
        <f t="shared" si="1"/>
        <v>512000</v>
      </c>
      <c r="F6" s="44">
        <f t="shared" si="2"/>
        <v>1637000</v>
      </c>
      <c r="G6" s="44">
        <f t="shared" si="3"/>
        <v>8081000</v>
      </c>
    </row>
    <row r="7" spans="1:7">
      <c r="A7" s="8" t="s">
        <v>200</v>
      </c>
      <c r="B7" s="44">
        <v>1485</v>
      </c>
      <c r="C7" s="44">
        <v>15000</v>
      </c>
      <c r="D7" s="44">
        <f t="shared" si="0"/>
        <v>22275000</v>
      </c>
      <c r="E7" s="44">
        <f t="shared" si="1"/>
        <v>1114000</v>
      </c>
      <c r="F7" s="44">
        <f t="shared" si="2"/>
        <v>3564000</v>
      </c>
      <c r="G7" s="44">
        <f t="shared" si="3"/>
        <v>17597000</v>
      </c>
    </row>
    <row r="8" spans="1:7">
      <c r="A8" s="7" t="s">
        <v>201</v>
      </c>
      <c r="B8" s="45">
        <v>785</v>
      </c>
      <c r="C8" s="45">
        <v>20000</v>
      </c>
      <c r="D8" s="44">
        <f t="shared" si="0"/>
        <v>15700000</v>
      </c>
      <c r="E8" s="44">
        <f t="shared" si="1"/>
        <v>785000</v>
      </c>
      <c r="F8" s="44">
        <f t="shared" si="2"/>
        <v>2512000</v>
      </c>
      <c r="G8" s="44">
        <f t="shared" si="3"/>
        <v>12403000</v>
      </c>
    </row>
    <row r="9" spans="1:7">
      <c r="A9" s="15" t="s">
        <v>203</v>
      </c>
      <c r="B9" s="45">
        <v>627</v>
      </c>
      <c r="C9" s="45">
        <v>24000</v>
      </c>
      <c r="D9" s="44">
        <f t="shared" si="0"/>
        <v>15048000</v>
      </c>
      <c r="E9" s="44">
        <f t="shared" si="1"/>
        <v>752000</v>
      </c>
      <c r="F9" s="44">
        <f t="shared" si="2"/>
        <v>2408000</v>
      </c>
      <c r="G9" s="44">
        <f t="shared" si="3"/>
        <v>11888000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쫑</dc:creator>
  <cp:lastModifiedBy>woo</cp:lastModifiedBy>
  <dcterms:created xsi:type="dcterms:W3CDTF">2013-03-06T07:37:24Z</dcterms:created>
  <dcterms:modified xsi:type="dcterms:W3CDTF">2013-11-19T07:53:58Z</dcterms:modified>
</cp:coreProperties>
</file>