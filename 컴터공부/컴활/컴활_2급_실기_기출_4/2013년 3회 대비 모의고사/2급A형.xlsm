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60" yWindow="630" windowWidth="15075" windowHeight="11580"/>
  </bookViews>
  <sheets>
    <sheet name="기본작업-1" sheetId="1" r:id="rId1"/>
    <sheet name="기본작업-2" sheetId="10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'기본작업-3'!#REF!</definedName>
  </definedNames>
  <calcPr calcId="145621"/>
</workbook>
</file>

<file path=xl/calcChain.xml><?xml version="1.0" encoding="utf-8"?>
<calcChain xmlns="http://schemas.openxmlformats.org/spreadsheetml/2006/main">
  <c r="G6" i="8" l="1"/>
  <c r="G7" i="8"/>
  <c r="G4" i="8"/>
  <c r="E5" i="8"/>
  <c r="E6" i="8"/>
  <c r="E7" i="8"/>
  <c r="E8" i="8"/>
  <c r="E9" i="8"/>
  <c r="E4" i="8"/>
  <c r="F5" i="8"/>
  <c r="G5" i="8" s="1"/>
  <c r="F6" i="8"/>
  <c r="F7" i="8"/>
  <c r="F8" i="8"/>
  <c r="G8" i="8" s="1"/>
  <c r="F9" i="8"/>
  <c r="G9" i="8" s="1"/>
  <c r="F4" i="8"/>
  <c r="D5" i="8"/>
  <c r="D6" i="8"/>
  <c r="D7" i="8"/>
  <c r="D8" i="8"/>
  <c r="D9" i="8"/>
  <c r="D4" i="8"/>
  <c r="G15" i="7"/>
  <c r="G14" i="7"/>
  <c r="D15" i="7"/>
  <c r="E15" i="7" s="1"/>
  <c r="D14" i="7"/>
  <c r="E14" i="7" s="1"/>
  <c r="G5" i="7"/>
  <c r="G6" i="7"/>
  <c r="G7" i="7"/>
  <c r="G8" i="7"/>
  <c r="G9" i="7"/>
  <c r="G10" i="7"/>
  <c r="G11" i="7"/>
  <c r="G12" i="7"/>
  <c r="G13" i="7"/>
  <c r="G4" i="7"/>
  <c r="E10" i="7"/>
  <c r="E11" i="7"/>
  <c r="E4" i="7"/>
  <c r="D5" i="7"/>
  <c r="E5" i="7" s="1"/>
  <c r="D6" i="7"/>
  <c r="E6" i="7" s="1"/>
  <c r="D7" i="7"/>
  <c r="E7" i="7" s="1"/>
  <c r="D8" i="7"/>
  <c r="E8" i="7" s="1"/>
  <c r="D9" i="7"/>
  <c r="E9" i="7" s="1"/>
  <c r="D10" i="7"/>
  <c r="D11" i="7"/>
  <c r="D12" i="7"/>
  <c r="E12" i="7" s="1"/>
  <c r="D13" i="7"/>
  <c r="E13" i="7" s="1"/>
  <c r="D4" i="7"/>
  <c r="H16" i="6" l="1"/>
  <c r="H12" i="6"/>
  <c r="H8" i="6"/>
  <c r="H5" i="6"/>
  <c r="H17" i="6"/>
  <c r="H13" i="6"/>
  <c r="H9" i="6"/>
  <c r="H6" i="6"/>
  <c r="H18" i="6"/>
  <c r="H14" i="6"/>
  <c r="H10" i="6"/>
  <c r="H7" i="6"/>
  <c r="H19" i="6"/>
  <c r="H15" i="6"/>
  <c r="H11" i="6"/>
  <c r="H4" i="6"/>
  <c r="E16" i="6"/>
  <c r="E12" i="6"/>
  <c r="E8" i="6"/>
  <c r="E5" i="6"/>
  <c r="E17" i="6"/>
  <c r="E13" i="6"/>
  <c r="E9" i="6"/>
  <c r="E6" i="6"/>
  <c r="E18" i="6"/>
  <c r="E14" i="6"/>
  <c r="E10" i="6"/>
  <c r="E7" i="6"/>
  <c r="E19" i="6"/>
  <c r="E15" i="6"/>
  <c r="E11" i="6"/>
  <c r="E4" i="6"/>
  <c r="I13" i="5" l="1"/>
  <c r="I14" i="5"/>
  <c r="I12" i="5"/>
  <c r="I10" i="5"/>
  <c r="I16" i="5"/>
  <c r="I5" i="5"/>
  <c r="I7" i="5"/>
  <c r="I11" i="5"/>
  <c r="I17" i="5"/>
  <c r="I6" i="5"/>
  <c r="I8" i="5"/>
  <c r="I9" i="5"/>
  <c r="I15" i="5"/>
  <c r="I18" i="5"/>
  <c r="I4" i="5"/>
  <c r="F32" i="4"/>
  <c r="F33" i="4"/>
  <c r="F34" i="4"/>
  <c r="F35" i="4"/>
  <c r="F36" i="4"/>
  <c r="F37" i="4"/>
  <c r="F38" i="4"/>
  <c r="F39" i="4"/>
  <c r="F40" i="4"/>
  <c r="F31" i="4"/>
  <c r="E32" i="4"/>
  <c r="E33" i="4"/>
  <c r="E34" i="4"/>
  <c r="E35" i="4"/>
  <c r="E36" i="4"/>
  <c r="E37" i="4"/>
  <c r="E38" i="4"/>
  <c r="E39" i="4"/>
  <c r="E40" i="4"/>
  <c r="E31" i="4"/>
  <c r="E20" i="4" l="1"/>
  <c r="E21" i="4"/>
  <c r="E22" i="4"/>
  <c r="E23" i="4"/>
  <c r="E24" i="4"/>
  <c r="E25" i="4"/>
  <c r="E26" i="4"/>
  <c r="E27" i="4"/>
  <c r="E19" i="4"/>
  <c r="L4" i="4" l="1"/>
  <c r="M4" i="4" s="1"/>
  <c r="L5" i="4"/>
  <c r="M5" i="4" s="1"/>
  <c r="L6" i="4"/>
  <c r="M6" i="4" s="1"/>
  <c r="L7" i="4"/>
  <c r="M7" i="4" s="1"/>
  <c r="L8" i="4"/>
  <c r="M8" i="4" s="1"/>
  <c r="L9" i="4"/>
  <c r="M9" i="4" s="1"/>
  <c r="L10" i="4"/>
  <c r="M10" i="4" s="1"/>
  <c r="L11" i="4"/>
  <c r="M11" i="4" s="1"/>
  <c r="L12" i="4"/>
  <c r="M12" i="4" s="1"/>
  <c r="L3" i="4"/>
  <c r="M3" i="4" s="1"/>
  <c r="F14" i="10" l="1"/>
</calcChain>
</file>

<file path=xl/connections.xml><?xml version="1.0" encoding="utf-8"?>
<connections xmlns="http://schemas.openxmlformats.org/spreadsheetml/2006/main">
  <connection id="1" name="퀴즈점수" type="6" refreshedVersion="3" background="1" saveData="1">
    <textPr codePage="949" sourceFile="\\Grnd-1\kimji\01_작업총모음\02_메일링\2012년이후\04_컴활실기\1203_컴활2급실기\퀴즈점수.txt" tab="0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name="퀴즈점수3" type="6" refreshedVersion="4" background="1" saveData="1">
    <textPr codePage="949" sourceFile="C:\Users\i\Desktop\퀴즈점수.txt" tab="0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<sst xmlns="http://schemas.openxmlformats.org/spreadsheetml/2006/main" count="305" uniqueCount="206">
  <si>
    <t>성명</t>
    <phoneticPr fontId="3" type="noConversion"/>
  </si>
  <si>
    <t>자격증 교육 신청 현황</t>
    <phoneticPr fontId="1" type="noConversion"/>
  </si>
  <si>
    <t>사용처</t>
    <phoneticPr fontId="1" type="noConversion"/>
  </si>
  <si>
    <t>사용일</t>
    <phoneticPr fontId="1" type="noConversion"/>
  </si>
  <si>
    <t>사원명</t>
    <phoneticPr fontId="1" type="noConversion"/>
  </si>
  <si>
    <t>영업부 출장비 사용 내역</t>
    <phoneticPr fontId="1" type="noConversion"/>
  </si>
  <si>
    <t>2013년 8월</t>
    <phoneticPr fontId="1" type="noConversion"/>
  </si>
  <si>
    <t>하지만</t>
    <phoneticPr fontId="1" type="noConversion"/>
  </si>
  <si>
    <t>최고다</t>
    <phoneticPr fontId="1" type="noConversion"/>
  </si>
  <si>
    <t>이대로</t>
    <phoneticPr fontId="1" type="noConversion"/>
  </si>
  <si>
    <t>오지개</t>
    <phoneticPr fontId="1" type="noConversion"/>
  </si>
  <si>
    <t>이튼튼</t>
    <phoneticPr fontId="1" type="noConversion"/>
  </si>
  <si>
    <t>오재룡</t>
    <phoneticPr fontId="1" type="noConversion"/>
  </si>
  <si>
    <t>엄어나</t>
    <phoneticPr fontId="1" type="noConversion"/>
  </si>
  <si>
    <t>전내일</t>
    <phoneticPr fontId="1" type="noConversion"/>
  </si>
  <si>
    <t>고이양</t>
    <phoneticPr fontId="1" type="noConversion"/>
  </si>
  <si>
    <t>변기통</t>
    <phoneticPr fontId="1" type="noConversion"/>
  </si>
  <si>
    <t>점심식비</t>
    <phoneticPr fontId="1" type="noConversion"/>
  </si>
  <si>
    <t>사용내역</t>
    <phoneticPr fontId="1" type="noConversion"/>
  </si>
  <si>
    <t>저녁식비</t>
    <phoneticPr fontId="1" type="noConversion"/>
  </si>
  <si>
    <t>주유소</t>
    <phoneticPr fontId="1" type="noConversion"/>
  </si>
  <si>
    <t>경유</t>
    <phoneticPr fontId="1" type="noConversion"/>
  </si>
  <si>
    <t>일반음식점(한식)</t>
    <phoneticPr fontId="1" type="noConversion"/>
  </si>
  <si>
    <t>일반음식점(중식)</t>
    <phoneticPr fontId="1" type="noConversion"/>
  </si>
  <si>
    <t>일반음식점(일식)</t>
    <phoneticPr fontId="1" type="noConversion"/>
  </si>
  <si>
    <t>결제방법</t>
    <phoneticPr fontId="1" type="noConversion"/>
  </si>
  <si>
    <t>저녁식비</t>
    <phoneticPr fontId="1" type="noConversion"/>
  </si>
  <si>
    <t>휴게음식점</t>
    <phoneticPr fontId="1" type="noConversion"/>
  </si>
  <si>
    <t>휴게음식점</t>
    <phoneticPr fontId="1" type="noConversion"/>
  </si>
  <si>
    <t>점심식비</t>
    <phoneticPr fontId="1" type="noConversion"/>
  </si>
  <si>
    <t>카드</t>
    <phoneticPr fontId="1" type="noConversion"/>
  </si>
  <si>
    <t>현금</t>
    <phoneticPr fontId="1" type="noConversion"/>
  </si>
  <si>
    <t>사용금액</t>
    <phoneticPr fontId="1" type="noConversion"/>
  </si>
  <si>
    <t>합계</t>
    <phoneticPr fontId="1" type="noConversion"/>
  </si>
  <si>
    <t>고객별 핸드폰 사용 현황</t>
  </si>
  <si>
    <t>참가번호</t>
    <phoneticPr fontId="3" type="noConversion"/>
  </si>
  <si>
    <t>[표1]</t>
    <phoneticPr fontId="3" type="noConversion"/>
  </si>
  <si>
    <t>성명</t>
    <phoneticPr fontId="1" type="noConversion"/>
  </si>
  <si>
    <t>학생수</t>
    <phoneticPr fontId="3" type="noConversion"/>
  </si>
  <si>
    <t>성별</t>
    <phoneticPr fontId="3" type="noConversion"/>
  </si>
  <si>
    <t>지역</t>
    <phoneticPr fontId="3" type="noConversion"/>
  </si>
  <si>
    <t>남자</t>
    <phoneticPr fontId="1" type="noConversion"/>
  </si>
  <si>
    <t>여자</t>
    <phoneticPr fontId="1" type="noConversion"/>
  </si>
  <si>
    <t>김예소</t>
    <phoneticPr fontId="1" type="noConversion"/>
  </si>
  <si>
    <t>김상욱</t>
    <phoneticPr fontId="1" type="noConversion"/>
  </si>
  <si>
    <t>임선호</t>
    <phoneticPr fontId="1" type="noConversion"/>
  </si>
  <si>
    <t>최미경</t>
    <phoneticPr fontId="1" type="noConversion"/>
  </si>
  <si>
    <t>황진주</t>
    <phoneticPr fontId="1" type="noConversion"/>
  </si>
  <si>
    <t>김준용</t>
    <phoneticPr fontId="1" type="noConversion"/>
  </si>
  <si>
    <t>이가영</t>
    <phoneticPr fontId="1" type="noConversion"/>
  </si>
  <si>
    <t>고회식</t>
    <phoneticPr fontId="1" type="noConversion"/>
  </si>
  <si>
    <t>박경선</t>
    <phoneticPr fontId="1" type="noConversion"/>
  </si>
  <si>
    <t>강민서</t>
    <phoneticPr fontId="1" type="noConversion"/>
  </si>
  <si>
    <t>안산</t>
    <phoneticPr fontId="1" type="noConversion"/>
  </si>
  <si>
    <t>시흥</t>
    <phoneticPr fontId="1" type="noConversion"/>
  </si>
  <si>
    <t>수원</t>
    <phoneticPr fontId="1" type="noConversion"/>
  </si>
  <si>
    <t>안양</t>
    <phoneticPr fontId="1" type="noConversion"/>
  </si>
  <si>
    <t>광명</t>
    <phoneticPr fontId="1" type="noConversion"/>
  </si>
  <si>
    <t>[표2]</t>
    <phoneticPr fontId="3" type="noConversion"/>
  </si>
  <si>
    <t>제품코드</t>
    <phoneticPr fontId="3" type="noConversion"/>
  </si>
  <si>
    <t>대리점별 제품 판매 현황</t>
    <phoneticPr fontId="1" type="noConversion"/>
  </si>
  <si>
    <t>A001</t>
    <phoneticPr fontId="1" type="noConversion"/>
  </si>
  <si>
    <t>B002</t>
    <phoneticPr fontId="1" type="noConversion"/>
  </si>
  <si>
    <t>C003</t>
    <phoneticPr fontId="1" type="noConversion"/>
  </si>
  <si>
    <t>판매수량</t>
    <phoneticPr fontId="3" type="noConversion"/>
  </si>
  <si>
    <t>제품가격</t>
    <phoneticPr fontId="3" type="noConversion"/>
  </si>
  <si>
    <t>세금</t>
    <phoneticPr fontId="1" type="noConversion"/>
  </si>
  <si>
    <t>판매이익</t>
    <phoneticPr fontId="1" type="noConversion"/>
  </si>
  <si>
    <t>동부</t>
    <phoneticPr fontId="1" type="noConversion"/>
  </si>
  <si>
    <t>서부</t>
    <phoneticPr fontId="1" type="noConversion"/>
  </si>
  <si>
    <t>남부</t>
    <phoneticPr fontId="1" type="noConversion"/>
  </si>
  <si>
    <t>북부</t>
    <phoneticPr fontId="1" type="noConversion"/>
  </si>
  <si>
    <t>북부</t>
    <phoneticPr fontId="1" type="noConversion"/>
  </si>
  <si>
    <t>동부판매이익</t>
    <phoneticPr fontId="3" type="noConversion"/>
  </si>
  <si>
    <t>대리점</t>
    <phoneticPr fontId="3" type="noConversion"/>
  </si>
  <si>
    <t>회원코드</t>
    <phoneticPr fontId="3" type="noConversion"/>
  </si>
  <si>
    <t>휘트니스센터 회원 현황</t>
    <phoneticPr fontId="1" type="noConversion"/>
  </si>
  <si>
    <t>이용일(개월)</t>
  </si>
  <si>
    <t>&lt;회원등급표&gt;</t>
    <phoneticPr fontId="1" type="noConversion"/>
  </si>
  <si>
    <t>이용일</t>
    <phoneticPr fontId="3" type="noConversion"/>
  </si>
  <si>
    <t>일반</t>
    <phoneticPr fontId="3" type="noConversion"/>
  </si>
  <si>
    <t>골드</t>
    <phoneticPr fontId="3" type="noConversion"/>
  </si>
  <si>
    <t>회원등급</t>
    <phoneticPr fontId="3" type="noConversion"/>
  </si>
  <si>
    <t>등급</t>
    <phoneticPr fontId="3" type="noConversion"/>
  </si>
  <si>
    <t>VIP</t>
    <phoneticPr fontId="1" type="noConversion"/>
  </si>
  <si>
    <t>KJI21</t>
    <phoneticPr fontId="1" type="noConversion"/>
  </si>
  <si>
    <t>MK01</t>
    <phoneticPr fontId="1" type="noConversion"/>
  </si>
  <si>
    <t>YS23</t>
    <phoneticPr fontId="1" type="noConversion"/>
  </si>
  <si>
    <t>ES20</t>
    <phoneticPr fontId="1" type="noConversion"/>
  </si>
  <si>
    <t>SW25</t>
    <phoneticPr fontId="1" type="noConversion"/>
  </si>
  <si>
    <t>SH17</t>
    <phoneticPr fontId="1" type="noConversion"/>
  </si>
  <si>
    <t>GH21</t>
    <phoneticPr fontId="1" type="noConversion"/>
  </si>
  <si>
    <t>AL08</t>
    <phoneticPr fontId="1" type="noConversion"/>
  </si>
  <si>
    <t>SJ04</t>
    <phoneticPr fontId="1" type="noConversion"/>
  </si>
  <si>
    <t>수상</t>
    <phoneticPr fontId="3" type="noConversion"/>
  </si>
  <si>
    <t xml:space="preserve">[표3] </t>
    <phoneticPr fontId="3" type="noConversion"/>
  </si>
  <si>
    <t xml:space="preserve">[표4] </t>
    <phoneticPr fontId="3" type="noConversion"/>
  </si>
  <si>
    <t>철인 3종 경기대회 결과</t>
    <phoneticPr fontId="1" type="noConversion"/>
  </si>
  <si>
    <t>경기도 학생 미술경시대회 결과</t>
    <phoneticPr fontId="1" type="noConversion"/>
  </si>
  <si>
    <t>수영</t>
    <phoneticPr fontId="3" type="noConversion"/>
  </si>
  <si>
    <t>사이클</t>
    <phoneticPr fontId="3" type="noConversion"/>
  </si>
  <si>
    <t>마라톤</t>
    <phoneticPr fontId="3" type="noConversion"/>
  </si>
  <si>
    <t>윤정희</t>
    <phoneticPr fontId="1" type="noConversion"/>
  </si>
  <si>
    <t>김요열</t>
    <phoneticPr fontId="1" type="noConversion"/>
  </si>
  <si>
    <t>김민성</t>
    <phoneticPr fontId="1" type="noConversion"/>
  </si>
  <si>
    <t>최시군</t>
    <phoneticPr fontId="1" type="noConversion"/>
  </si>
  <si>
    <t>고정찬</t>
    <phoneticPr fontId="1" type="noConversion"/>
  </si>
  <si>
    <t>이광용</t>
    <phoneticPr fontId="1" type="noConversion"/>
  </si>
  <si>
    <t>최새벽</t>
    <phoneticPr fontId="1" type="noConversion"/>
  </si>
  <si>
    <t>김정훈</t>
    <phoneticPr fontId="1" type="noConversion"/>
  </si>
  <si>
    <t>고정민</t>
    <phoneticPr fontId="1" type="noConversion"/>
  </si>
  <si>
    <t>합계</t>
    <phoneticPr fontId="3" type="noConversion"/>
  </si>
  <si>
    <t>1차</t>
    <phoneticPr fontId="3" type="noConversion"/>
  </si>
  <si>
    <t>2차</t>
    <phoneticPr fontId="3" type="noConversion"/>
  </si>
  <si>
    <t xml:space="preserve">[표5] </t>
    <phoneticPr fontId="1" type="noConversion"/>
  </si>
  <si>
    <t>중간고사 성적 현황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</si>
  <si>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</si>
  <si>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</si>
  <si>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</si>
  <si>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총점</t>
    <phoneticPr fontId="1" type="noConversion"/>
  </si>
  <si>
    <t>평균</t>
    <phoneticPr fontId="1" type="noConversion"/>
  </si>
  <si>
    <t>영어/수학 우수학생평균</t>
    <phoneticPr fontId="3" type="noConversion"/>
  </si>
  <si>
    <t>조광희</t>
    <phoneticPr fontId="3" type="noConversion"/>
  </si>
  <si>
    <t>이부성</t>
    <phoneticPr fontId="3" type="noConversion"/>
  </si>
  <si>
    <t>최성완</t>
    <phoneticPr fontId="3" type="noConversion"/>
  </si>
  <si>
    <t>서기운</t>
    <phoneticPr fontId="3" type="noConversion"/>
  </si>
  <si>
    <t>김영택</t>
    <phoneticPr fontId="3" type="noConversion"/>
  </si>
  <si>
    <t>조정휴</t>
    <phoneticPr fontId="3" type="noConversion"/>
  </si>
  <si>
    <t>고인숙</t>
    <phoneticPr fontId="3" type="noConversion"/>
  </si>
  <si>
    <t>정은경</t>
    <phoneticPr fontId="3" type="noConversion"/>
  </si>
  <si>
    <t>권지향</t>
    <phoneticPr fontId="3" type="noConversion"/>
  </si>
  <si>
    <t>이진녀</t>
    <phoneticPr fontId="3" type="noConversion"/>
  </si>
  <si>
    <t>도서명</t>
    <phoneticPr fontId="3" type="noConversion"/>
  </si>
  <si>
    <t>워드</t>
    <phoneticPr fontId="1" type="noConversion"/>
  </si>
  <si>
    <t>컴활</t>
    <phoneticPr fontId="1" type="noConversion"/>
  </si>
  <si>
    <t>사무자동화</t>
    <phoneticPr fontId="1" type="noConversion"/>
  </si>
  <si>
    <t>지역</t>
    <phoneticPr fontId="3" type="noConversion"/>
  </si>
  <si>
    <t>서울</t>
    <phoneticPr fontId="1" type="noConversion"/>
  </si>
  <si>
    <t>부산</t>
    <phoneticPr fontId="1" type="noConversion"/>
  </si>
  <si>
    <t>대전</t>
    <phoneticPr fontId="1" type="noConversion"/>
  </si>
  <si>
    <t>강원</t>
    <phoneticPr fontId="1" type="noConversion"/>
  </si>
  <si>
    <t>경기</t>
    <phoneticPr fontId="1" type="noConversion"/>
  </si>
  <si>
    <t>담당자</t>
    <phoneticPr fontId="1" type="noConversion"/>
  </si>
  <si>
    <t>판매가</t>
    <phoneticPr fontId="1" type="noConversion"/>
  </si>
  <si>
    <t>판매량</t>
    <phoneticPr fontId="1" type="noConversion"/>
  </si>
  <si>
    <t>목표량</t>
    <phoneticPr fontId="1" type="noConversion"/>
  </si>
  <si>
    <t>운임비</t>
    <phoneticPr fontId="1" type="noConversion"/>
  </si>
  <si>
    <t>판매이익</t>
    <phoneticPr fontId="1" type="noConversion"/>
  </si>
  <si>
    <t>홍보비</t>
    <phoneticPr fontId="1" type="noConversion"/>
  </si>
  <si>
    <t>최대건</t>
    <phoneticPr fontId="1" type="noConversion"/>
  </si>
  <si>
    <t>심영훈</t>
    <phoneticPr fontId="1" type="noConversion"/>
  </si>
  <si>
    <t>김종모</t>
    <phoneticPr fontId="1" type="noConversion"/>
  </si>
  <si>
    <t>박철근</t>
    <phoneticPr fontId="1" type="noConversion"/>
  </si>
  <si>
    <t>최경민</t>
    <phoneticPr fontId="1" type="noConversion"/>
  </si>
  <si>
    <t>IT 수험서 판매 현황</t>
    <phoneticPr fontId="3" type="noConversion"/>
  </si>
  <si>
    <t>가전제품 판매 현황</t>
    <phoneticPr fontId="1" type="noConversion"/>
  </si>
  <si>
    <t>제품명</t>
    <phoneticPr fontId="1" type="noConversion"/>
  </si>
  <si>
    <t>등급</t>
    <phoneticPr fontId="1" type="noConversion"/>
  </si>
  <si>
    <t>3DTV</t>
    <phoneticPr fontId="1" type="noConversion"/>
  </si>
  <si>
    <t>고급형</t>
    <phoneticPr fontId="1" type="noConversion"/>
  </si>
  <si>
    <t>중급형</t>
    <phoneticPr fontId="1" type="noConversion"/>
  </si>
  <si>
    <t>일반형</t>
    <phoneticPr fontId="1" type="noConversion"/>
  </si>
  <si>
    <t>보급형</t>
    <phoneticPr fontId="1" type="noConversion"/>
  </si>
  <si>
    <t>냉장고</t>
    <phoneticPr fontId="1" type="noConversion"/>
  </si>
  <si>
    <t>세탁기</t>
    <phoneticPr fontId="1" type="noConversion"/>
  </si>
  <si>
    <t>정수기</t>
    <phoneticPr fontId="1" type="noConversion"/>
  </si>
  <si>
    <t>판매가</t>
    <phoneticPr fontId="1" type="noConversion"/>
  </si>
  <si>
    <t>할인율</t>
    <phoneticPr fontId="1" type="noConversion"/>
  </si>
  <si>
    <t>판매량</t>
    <phoneticPr fontId="1" type="noConversion"/>
  </si>
  <si>
    <t>총매출</t>
    <phoneticPr fontId="1" type="noConversion"/>
  </si>
  <si>
    <t>입고량</t>
    <phoneticPr fontId="1" type="noConversion"/>
  </si>
  <si>
    <t>재고량</t>
    <phoneticPr fontId="1" type="noConversion"/>
  </si>
  <si>
    <t>종목명</t>
    <phoneticPr fontId="3" type="noConversion"/>
  </si>
  <si>
    <t>매수가격</t>
    <phoneticPr fontId="3" type="noConversion"/>
  </si>
  <si>
    <t>보유수량</t>
    <phoneticPr fontId="3" type="noConversion"/>
  </si>
  <si>
    <t>매수금액</t>
    <phoneticPr fontId="3" type="noConversion"/>
  </si>
  <si>
    <t>매수수수료</t>
    <phoneticPr fontId="3" type="noConversion"/>
  </si>
  <si>
    <t>현재금액</t>
    <phoneticPr fontId="3" type="noConversion"/>
  </si>
  <si>
    <t>평가손익</t>
    <phoneticPr fontId="3" type="noConversion"/>
  </si>
  <si>
    <t>주가지수(KOSPI) 현황</t>
    <phoneticPr fontId="1" type="noConversion"/>
  </si>
  <si>
    <t>담성전자</t>
    <phoneticPr fontId="1" type="noConversion"/>
  </si>
  <si>
    <t>ST텔레콤</t>
    <phoneticPr fontId="1" type="noConversion"/>
  </si>
  <si>
    <t>현두건설</t>
    <phoneticPr fontId="1" type="noConversion"/>
  </si>
  <si>
    <t>한국해운</t>
    <phoneticPr fontId="1" type="noConversion"/>
  </si>
  <si>
    <t>성진신약</t>
    <phoneticPr fontId="1" type="noConversion"/>
  </si>
  <si>
    <t>대한은행</t>
    <phoneticPr fontId="1" type="noConversion"/>
  </si>
  <si>
    <t>우리전력공사</t>
    <phoneticPr fontId="1" type="noConversion"/>
  </si>
  <si>
    <t>극강제강</t>
    <phoneticPr fontId="1" type="noConversion"/>
  </si>
  <si>
    <t>기대자동차</t>
    <phoneticPr fontId="1" type="noConversion"/>
  </si>
  <si>
    <t>강한중공업</t>
    <phoneticPr fontId="1" type="noConversion"/>
  </si>
  <si>
    <t>신대백화점</t>
    <phoneticPr fontId="1" type="noConversion"/>
  </si>
  <si>
    <t>신성기술</t>
    <phoneticPr fontId="1" type="noConversion"/>
  </si>
  <si>
    <t>단가</t>
    <phoneticPr fontId="3" type="noConversion"/>
  </si>
  <si>
    <t>판매금액</t>
    <phoneticPr fontId="3" type="noConversion"/>
  </si>
  <si>
    <t>이익금액</t>
    <phoneticPr fontId="3" type="noConversion"/>
  </si>
  <si>
    <t>용품명</t>
    <phoneticPr fontId="3" type="noConversion"/>
  </si>
  <si>
    <t>샴푸</t>
    <phoneticPr fontId="1" type="noConversion"/>
  </si>
  <si>
    <t>섬유유연제</t>
    <phoneticPr fontId="1" type="noConversion"/>
  </si>
  <si>
    <t>주방세제</t>
    <phoneticPr fontId="1" type="noConversion"/>
  </si>
  <si>
    <t>밀폐용기</t>
    <phoneticPr fontId="1" type="noConversion"/>
  </si>
  <si>
    <t>보온병</t>
    <phoneticPr fontId="1" type="noConversion"/>
  </si>
  <si>
    <t>세금</t>
    <phoneticPr fontId="1" type="noConversion"/>
  </si>
  <si>
    <t>카페트</t>
    <phoneticPr fontId="1" type="noConversion"/>
  </si>
  <si>
    <t>판매량</t>
    <phoneticPr fontId="3" type="noConversion"/>
  </si>
  <si>
    <t>생활용품 판매 현황</t>
    <phoneticPr fontId="1" type="noConversion"/>
  </si>
  <si>
    <t>임대비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</si>
</sst>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0.0_ 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6" fillId="0" borderId="0" applyFont="0" applyFill="0" applyBorder="0" applyAlignment="0" applyProtection="0">
      <alignment vertical="center"/>
    </xf>
    <xf numFmtId="0" fontId="2" fillId="0" borderId="0"/>
  </cellStyleXfs>
  <cellXfs count="66">
    <xf numFmtId="0" fontId="0" fillId="0" borderId="0" xfId="0">
      <alignment vertical="center"/>
    </xf>
    <xf numFmtId="0" fontId="4" fillId="0" borderId="0" xfId="0" applyFont="1" applyBorder="1">
      <alignment vertical="center"/>
    </xf>
    <xf numFmtId="0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31" fontId="0" fillId="0" borderId="0" xfId="0" applyNumberFormat="1">
      <alignment vertical="center"/>
    </xf>
    <xf numFmtId="0" fontId="0" fillId="0" borderId="0" xfId="9" applyNumberFormat="1" applyFont="1">
      <alignment vertical="center"/>
    </xf>
    <xf numFmtId="0" fontId="0" fillId="0" borderId="0" xfId="0" applyNumberFormat="1">
      <alignment vertical="center"/>
    </xf>
    <xf numFmtId="0" fontId="0" fillId="0" borderId="0" xfId="0" applyAlignment="1"/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7" fillId="0" borderId="0" xfId="0" applyFont="1" applyAlignment="1"/>
    <xf numFmtId="0" fontId="8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41" fontId="0" fillId="0" borderId="1" xfId="2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1" fontId="4" fillId="0" borderId="1" xfId="0" applyNumberFormat="1" applyFont="1" applyFill="1" applyBorder="1" applyAlignment="1">
      <alignment vertical="center"/>
    </xf>
    <xf numFmtId="41" fontId="0" fillId="0" borderId="1" xfId="9" applyFont="1" applyBorder="1" applyAlignment="1">
      <alignment horizontal="center" vertical="center"/>
    </xf>
    <xf numFmtId="0" fontId="5" fillId="0" borderId="0" xfId="0" applyFont="1" applyAlignment="1"/>
    <xf numFmtId="0" fontId="9" fillId="0" borderId="0" xfId="0" applyFont="1" applyAlignment="1"/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76" fontId="5" fillId="0" borderId="1" xfId="8" applyNumberFormat="1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10" fillId="0" borderId="0" xfId="0" applyFont="1" applyAlignment="1"/>
    <xf numFmtId="41" fontId="5" fillId="0" borderId="0" xfId="2" applyFont="1" applyBorder="1" applyAlignment="1">
      <alignment horizontal="center" vertical="center"/>
    </xf>
    <xf numFmtId="0" fontId="0" fillId="0" borderId="1" xfId="0" applyNumberFormat="1" applyBorder="1" applyAlignment="1">
      <alignment horizontal="center"/>
    </xf>
    <xf numFmtId="0" fontId="9" fillId="0" borderId="0" xfId="10" applyFont="1" applyAlignment="1">
      <alignment horizontal="left" vertical="center"/>
    </xf>
    <xf numFmtId="0" fontId="10" fillId="0" borderId="0" xfId="10" applyFont="1" applyAlignment="1">
      <alignment horizontal="left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9" applyNumberFormat="1" applyFont="1" applyBorder="1" applyAlignment="1">
      <alignment horizontal="center" vertical="center"/>
    </xf>
    <xf numFmtId="177" fontId="4" fillId="0" borderId="1" xfId="9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1" fontId="4" fillId="0" borderId="1" xfId="9" applyFont="1" applyBorder="1" applyAlignment="1">
      <alignment vertical="center"/>
    </xf>
    <xf numFmtId="9" fontId="4" fillId="0" borderId="1" xfId="9" applyNumberFormat="1" applyFont="1" applyBorder="1" applyAlignment="1">
      <alignment horizontal="center" vertical="center"/>
    </xf>
    <xf numFmtId="0" fontId="13" fillId="0" borderId="0" xfId="1" applyFont="1" applyBorder="1" applyAlignment="1">
      <alignment horizontal="center" vertical="center"/>
    </xf>
    <xf numFmtId="0" fontId="13" fillId="0" borderId="0" xfId="1" applyFont="1" applyBorder="1" applyAlignment="1">
      <alignment horizontal="center" vertical="center" wrapText="1"/>
    </xf>
    <xf numFmtId="0" fontId="13" fillId="0" borderId="0" xfId="1" applyFont="1" applyBorder="1" applyAlignment="1">
      <alignment horizontal="center"/>
    </xf>
    <xf numFmtId="0" fontId="13" fillId="0" borderId="0" xfId="9" applyNumberFormat="1" applyFont="1" applyBorder="1" applyAlignment="1"/>
    <xf numFmtId="0" fontId="13" fillId="0" borderId="0" xfId="1" applyFont="1" applyFill="1" applyBorder="1" applyAlignment="1">
      <alignment horizontal="center"/>
    </xf>
    <xf numFmtId="0" fontId="4" fillId="0" borderId="0" xfId="9" applyNumberFormat="1" applyFont="1" applyBorder="1">
      <alignment vertical="center"/>
    </xf>
    <xf numFmtId="0" fontId="12" fillId="0" borderId="6" xfId="0" applyFont="1" applyBorder="1" applyAlignment="1">
      <alignment horizontal="center"/>
    </xf>
    <xf numFmtId="41" fontId="0" fillId="0" borderId="1" xfId="9" applyFont="1" applyBorder="1" applyAlignment="1">
      <alignment horizontal="center"/>
    </xf>
    <xf numFmtId="41" fontId="0" fillId="0" borderId="1" xfId="9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2" applyFon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4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/>
    </xf>
  </cellXfs>
  <cellStyles count="11">
    <cellStyle name="백분율 2" xfId="4"/>
    <cellStyle name="백분율 3" xfId="8"/>
    <cellStyle name="쉼표 [0]" xfId="9" builtinId="6"/>
    <cellStyle name="쉼표 [0] 2" xfId="2"/>
    <cellStyle name="쉼표 [0] 3" xfId="5"/>
    <cellStyle name="통화 [0] 2" xfId="6"/>
    <cellStyle name="통화 [0] 3" xfId="7"/>
    <cellStyle name="표준" xfId="0" builtinId="0"/>
    <cellStyle name="표준 2" xfId="1"/>
    <cellStyle name="표준 3" xfId="3"/>
    <cellStyle name="표준_Sheet1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tabSelected="1" workbookViewId="0"/>
  </sheetViews>
  <sheetFormatPr defaultRowHeight="16.5"/>
  <cols>
    <col min="1" max="1" width="9" style="4"/>
    <col min="2" max="2" width="13" style="4" bestFit="1" customWidth="1"/>
    <col min="3" max="3" width="9" style="4" customWidth="1"/>
    <col min="4" max="4" width="17.25" style="4" bestFit="1" customWidth="1"/>
    <col min="5" max="5" width="13.625" style="4" bestFit="1" customWidth="1"/>
    <col min="6" max="16384" width="9" style="4"/>
  </cols>
  <sheetData>
    <row r="1" spans="1:5">
      <c r="A1" s="2" t="s">
        <v>1</v>
      </c>
      <c r="B1" s="2"/>
      <c r="C1" s="2"/>
      <c r="D1" s="2"/>
      <c r="E1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workbookViewId="0"/>
  </sheetViews>
  <sheetFormatPr defaultRowHeight="16.5"/>
  <cols>
    <col min="2" max="2" width="17.125" bestFit="1" customWidth="1"/>
    <col min="3" max="3" width="16.5" bestFit="1" customWidth="1"/>
    <col min="4" max="5" width="9" customWidth="1"/>
    <col min="6" max="6" width="11" bestFit="1" customWidth="1"/>
  </cols>
  <sheetData>
    <row r="1" spans="1:6">
      <c r="A1" t="s">
        <v>5</v>
      </c>
    </row>
    <row r="2" spans="1:6">
      <c r="F2" t="s">
        <v>6</v>
      </c>
    </row>
    <row r="3" spans="1:6">
      <c r="A3" t="s">
        <v>4</v>
      </c>
      <c r="B3" t="s">
        <v>3</v>
      </c>
      <c r="C3" t="s">
        <v>2</v>
      </c>
      <c r="D3" t="s">
        <v>18</v>
      </c>
      <c r="E3" t="s">
        <v>25</v>
      </c>
      <c r="F3" t="s">
        <v>32</v>
      </c>
    </row>
    <row r="4" spans="1:6">
      <c r="A4" t="s">
        <v>7</v>
      </c>
      <c r="B4" s="5">
        <v>41491</v>
      </c>
      <c r="C4" s="5" t="s">
        <v>22</v>
      </c>
      <c r="D4" t="s">
        <v>17</v>
      </c>
      <c r="E4" t="s">
        <v>31</v>
      </c>
      <c r="F4" s="6">
        <v>18000</v>
      </c>
    </row>
    <row r="5" spans="1:6">
      <c r="A5" t="s">
        <v>8</v>
      </c>
      <c r="B5" s="5">
        <v>41491</v>
      </c>
      <c r="C5" s="5" t="s">
        <v>20</v>
      </c>
      <c r="D5" t="s">
        <v>21</v>
      </c>
      <c r="E5" t="s">
        <v>30</v>
      </c>
      <c r="F5" s="6">
        <v>70000</v>
      </c>
    </row>
    <row r="6" spans="1:6">
      <c r="A6" t="s">
        <v>9</v>
      </c>
      <c r="B6" s="5">
        <v>41494</v>
      </c>
      <c r="C6" s="5" t="s">
        <v>24</v>
      </c>
      <c r="D6" t="s">
        <v>26</v>
      </c>
      <c r="E6" t="s">
        <v>31</v>
      </c>
      <c r="F6" s="6">
        <v>120000</v>
      </c>
    </row>
    <row r="7" spans="1:6">
      <c r="A7" t="s">
        <v>10</v>
      </c>
      <c r="B7" s="5">
        <v>41494</v>
      </c>
      <c r="C7" s="5" t="s">
        <v>27</v>
      </c>
      <c r="D7" t="s">
        <v>17</v>
      </c>
      <c r="E7" t="s">
        <v>31</v>
      </c>
      <c r="F7" s="6">
        <v>20000</v>
      </c>
    </row>
    <row r="8" spans="1:6">
      <c r="A8" t="s">
        <v>11</v>
      </c>
      <c r="B8" s="5">
        <v>41494</v>
      </c>
      <c r="C8" s="5" t="s">
        <v>23</v>
      </c>
      <c r="D8" t="s">
        <v>17</v>
      </c>
      <c r="E8" t="s">
        <v>31</v>
      </c>
      <c r="F8" s="6">
        <v>32000</v>
      </c>
    </row>
    <row r="9" spans="1:6">
      <c r="A9" t="s">
        <v>12</v>
      </c>
      <c r="B9" s="5">
        <v>41502</v>
      </c>
      <c r="C9" s="5" t="s">
        <v>20</v>
      </c>
      <c r="D9" t="s">
        <v>21</v>
      </c>
      <c r="E9" t="s">
        <v>30</v>
      </c>
      <c r="F9" s="6">
        <v>85000</v>
      </c>
    </row>
    <row r="10" spans="1:6">
      <c r="A10" t="s">
        <v>13</v>
      </c>
      <c r="B10" s="5">
        <v>41503</v>
      </c>
      <c r="C10" s="5" t="s">
        <v>28</v>
      </c>
      <c r="D10" t="s">
        <v>29</v>
      </c>
      <c r="E10" t="s">
        <v>31</v>
      </c>
      <c r="F10" s="6">
        <v>24000</v>
      </c>
    </row>
    <row r="11" spans="1:6">
      <c r="A11" t="s">
        <v>14</v>
      </c>
      <c r="B11" s="5">
        <v>41508</v>
      </c>
      <c r="C11" s="5" t="s">
        <v>23</v>
      </c>
      <c r="D11" t="s">
        <v>19</v>
      </c>
      <c r="E11" t="s">
        <v>30</v>
      </c>
      <c r="F11" s="6">
        <v>150000</v>
      </c>
    </row>
    <row r="12" spans="1:6">
      <c r="A12" t="s">
        <v>15</v>
      </c>
      <c r="B12" s="5">
        <v>41510</v>
      </c>
      <c r="C12" s="5" t="s">
        <v>20</v>
      </c>
      <c r="D12" t="s">
        <v>21</v>
      </c>
      <c r="E12" t="s">
        <v>30</v>
      </c>
      <c r="F12" s="6">
        <v>80000</v>
      </c>
    </row>
    <row r="13" spans="1:6">
      <c r="A13" t="s">
        <v>16</v>
      </c>
      <c r="B13" s="5">
        <v>41511</v>
      </c>
      <c r="C13" s="5" t="s">
        <v>24</v>
      </c>
      <c r="D13" t="s">
        <v>19</v>
      </c>
      <c r="E13" t="s">
        <v>30</v>
      </c>
      <c r="F13" s="6">
        <v>180000</v>
      </c>
    </row>
    <row r="14" spans="1:6">
      <c r="A14" t="s">
        <v>33</v>
      </c>
      <c r="F14" s="7">
        <f>SUM(F4:F13)</f>
        <v>779000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cols>
    <col min="1" max="1" width="14.375" bestFit="1" customWidth="1"/>
    <col min="5" max="5" width="13" bestFit="1" customWidth="1"/>
  </cols>
  <sheetData>
    <row r="1" spans="1:1">
      <c r="A1" t="s">
        <v>34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0"/>
  <sheetViews>
    <sheetView zoomScaleNormal="100" workbookViewId="0"/>
  </sheetViews>
  <sheetFormatPr defaultRowHeight="16.5"/>
  <cols>
    <col min="1" max="2" width="9" style="4"/>
    <col min="3" max="4" width="9" style="4" customWidth="1"/>
    <col min="5" max="6" width="9" style="4"/>
    <col min="7" max="7" width="3.625" style="4" customWidth="1"/>
    <col min="8" max="8" width="9" style="4" customWidth="1"/>
    <col min="9" max="9" width="12.375" style="4" customWidth="1"/>
    <col min="10" max="10" width="9" style="4" bestFit="1" customWidth="1"/>
    <col min="11" max="11" width="9" style="4"/>
    <col min="12" max="12" width="9" style="4" customWidth="1"/>
    <col min="13" max="13" width="10.875" style="4" bestFit="1" customWidth="1"/>
    <col min="14" max="16384" width="9" style="4"/>
  </cols>
  <sheetData>
    <row r="1" spans="1:13">
      <c r="A1" s="13" t="s">
        <v>36</v>
      </c>
      <c r="B1" s="14" t="s">
        <v>98</v>
      </c>
      <c r="D1" s="15"/>
      <c r="E1" s="15"/>
      <c r="F1" s="15"/>
      <c r="H1" s="13" t="s">
        <v>58</v>
      </c>
      <c r="I1" s="14" t="s">
        <v>60</v>
      </c>
      <c r="J1" s="15"/>
      <c r="K1" s="15"/>
      <c r="L1" s="15"/>
    </row>
    <row r="2" spans="1:13">
      <c r="A2" s="16" t="s">
        <v>35</v>
      </c>
      <c r="B2" s="16" t="s">
        <v>37</v>
      </c>
      <c r="C2" s="16" t="s">
        <v>39</v>
      </c>
      <c r="D2" s="16" t="s">
        <v>40</v>
      </c>
      <c r="E2" s="16" t="s">
        <v>112</v>
      </c>
      <c r="F2" s="16" t="s">
        <v>113</v>
      </c>
      <c r="H2" s="16" t="s">
        <v>74</v>
      </c>
      <c r="I2" s="16" t="s">
        <v>59</v>
      </c>
      <c r="J2" s="23" t="s">
        <v>65</v>
      </c>
      <c r="K2" s="23" t="s">
        <v>64</v>
      </c>
      <c r="L2" s="23" t="s">
        <v>66</v>
      </c>
      <c r="M2" s="24" t="s">
        <v>67</v>
      </c>
    </row>
    <row r="3" spans="1:13" s="21" customFormat="1">
      <c r="A3" s="20">
        <v>1035</v>
      </c>
      <c r="B3" s="20" t="s">
        <v>44</v>
      </c>
      <c r="C3" s="16" t="s">
        <v>41</v>
      </c>
      <c r="D3" s="16" t="s">
        <v>53</v>
      </c>
      <c r="E3" s="16">
        <v>81.099999999999994</v>
      </c>
      <c r="F3" s="16">
        <v>78.599999999999994</v>
      </c>
      <c r="H3" s="17" t="s">
        <v>68</v>
      </c>
      <c r="I3" s="17" t="s">
        <v>61</v>
      </c>
      <c r="J3" s="26">
        <v>25000</v>
      </c>
      <c r="K3" s="26">
        <v>123</v>
      </c>
      <c r="L3" s="22">
        <f>J3*K3*17%</f>
        <v>522750.00000000006</v>
      </c>
      <c r="M3" s="25">
        <f>J3*K3-L3</f>
        <v>2552250</v>
      </c>
    </row>
    <row r="4" spans="1:13" s="21" customFormat="1">
      <c r="A4" s="20">
        <v>2045</v>
      </c>
      <c r="B4" s="20" t="s">
        <v>43</v>
      </c>
      <c r="C4" s="16" t="s">
        <v>42</v>
      </c>
      <c r="D4" s="16" t="s">
        <v>54</v>
      </c>
      <c r="E4" s="16">
        <v>86.5</v>
      </c>
      <c r="F4" s="16">
        <v>88.4</v>
      </c>
      <c r="H4" s="17" t="s">
        <v>69</v>
      </c>
      <c r="I4" s="17" t="s">
        <v>61</v>
      </c>
      <c r="J4" s="26">
        <v>25000</v>
      </c>
      <c r="K4" s="26">
        <v>102</v>
      </c>
      <c r="L4" s="22">
        <f t="shared" ref="L4:L12" si="0">J4*K4*17%</f>
        <v>433500.00000000006</v>
      </c>
      <c r="M4" s="25">
        <f t="shared" ref="M4:M12" si="1">J4*K4-L4</f>
        <v>2116500</v>
      </c>
    </row>
    <row r="5" spans="1:13">
      <c r="A5" s="19">
        <v>2133</v>
      </c>
      <c r="B5" s="19" t="s">
        <v>45</v>
      </c>
      <c r="C5" s="17" t="s">
        <v>41</v>
      </c>
      <c r="D5" s="17" t="s">
        <v>55</v>
      </c>
      <c r="E5" s="17">
        <v>77.5</v>
      </c>
      <c r="F5" s="17">
        <v>79.900000000000006</v>
      </c>
      <c r="H5" s="17" t="s">
        <v>70</v>
      </c>
      <c r="I5" s="17" t="s">
        <v>61</v>
      </c>
      <c r="J5" s="26">
        <v>25000</v>
      </c>
      <c r="K5" s="26">
        <v>99</v>
      </c>
      <c r="L5" s="22">
        <f t="shared" si="0"/>
        <v>420750.00000000006</v>
      </c>
      <c r="M5" s="25">
        <f t="shared" si="1"/>
        <v>2054250</v>
      </c>
    </row>
    <row r="6" spans="1:13">
      <c r="A6" s="19">
        <v>1284</v>
      </c>
      <c r="B6" s="19" t="s">
        <v>46</v>
      </c>
      <c r="C6" s="17" t="s">
        <v>42</v>
      </c>
      <c r="D6" s="17" t="s">
        <v>56</v>
      </c>
      <c r="E6" s="17">
        <v>90.3</v>
      </c>
      <c r="F6" s="17">
        <v>91.5</v>
      </c>
      <c r="H6" s="17" t="s">
        <v>68</v>
      </c>
      <c r="I6" s="17" t="s">
        <v>62</v>
      </c>
      <c r="J6" s="26">
        <v>20000</v>
      </c>
      <c r="K6" s="26">
        <v>84</v>
      </c>
      <c r="L6" s="22">
        <f t="shared" si="0"/>
        <v>285600</v>
      </c>
      <c r="M6" s="25">
        <f t="shared" si="1"/>
        <v>1394400</v>
      </c>
    </row>
    <row r="7" spans="1:13">
      <c r="A7" s="19">
        <v>1389</v>
      </c>
      <c r="B7" s="19" t="s">
        <v>47</v>
      </c>
      <c r="C7" s="17" t="s">
        <v>42</v>
      </c>
      <c r="D7" s="17" t="s">
        <v>54</v>
      </c>
      <c r="E7" s="17">
        <v>89.2</v>
      </c>
      <c r="F7" s="17">
        <v>87.4</v>
      </c>
      <c r="H7" s="17" t="s">
        <v>70</v>
      </c>
      <c r="I7" s="17" t="s">
        <v>62</v>
      </c>
      <c r="J7" s="26">
        <v>20000</v>
      </c>
      <c r="K7" s="26">
        <v>131</v>
      </c>
      <c r="L7" s="22">
        <f t="shared" si="0"/>
        <v>445400.00000000006</v>
      </c>
      <c r="M7" s="25">
        <f t="shared" si="1"/>
        <v>2174600</v>
      </c>
    </row>
    <row r="8" spans="1:13" s="21" customFormat="1">
      <c r="A8" s="20">
        <v>2789</v>
      </c>
      <c r="B8" s="20" t="s">
        <v>48</v>
      </c>
      <c r="C8" s="16" t="s">
        <v>41</v>
      </c>
      <c r="D8" s="16" t="s">
        <v>53</v>
      </c>
      <c r="E8" s="16">
        <v>84.5</v>
      </c>
      <c r="F8" s="16">
        <v>82.7</v>
      </c>
      <c r="H8" s="17" t="s">
        <v>69</v>
      </c>
      <c r="I8" s="17" t="s">
        <v>62</v>
      </c>
      <c r="J8" s="26">
        <v>20000</v>
      </c>
      <c r="K8" s="26">
        <v>111</v>
      </c>
      <c r="L8" s="22">
        <f t="shared" si="0"/>
        <v>377400</v>
      </c>
      <c r="M8" s="25">
        <f t="shared" si="1"/>
        <v>1842600</v>
      </c>
    </row>
    <row r="9" spans="1:13">
      <c r="A9" s="19">
        <v>1682</v>
      </c>
      <c r="B9" s="19" t="s">
        <v>49</v>
      </c>
      <c r="C9" s="17" t="s">
        <v>42</v>
      </c>
      <c r="D9" s="17" t="s">
        <v>55</v>
      </c>
      <c r="E9" s="17">
        <v>90.5</v>
      </c>
      <c r="F9" s="17">
        <v>93.1</v>
      </c>
      <c r="H9" s="17" t="s">
        <v>72</v>
      </c>
      <c r="I9" s="17" t="s">
        <v>61</v>
      </c>
      <c r="J9" s="26">
        <v>25000</v>
      </c>
      <c r="K9" s="26">
        <v>117</v>
      </c>
      <c r="L9" s="22">
        <f t="shared" si="0"/>
        <v>497250.00000000006</v>
      </c>
      <c r="M9" s="25">
        <f t="shared" si="1"/>
        <v>2427750</v>
      </c>
    </row>
    <row r="10" spans="1:13">
      <c r="A10" s="19">
        <v>1927</v>
      </c>
      <c r="B10" s="19" t="s">
        <v>52</v>
      </c>
      <c r="C10" s="17" t="s">
        <v>42</v>
      </c>
      <c r="D10" s="17" t="s">
        <v>57</v>
      </c>
      <c r="E10" s="17">
        <v>88.8</v>
      </c>
      <c r="F10" s="17">
        <v>86.7</v>
      </c>
      <c r="H10" s="17" t="s">
        <v>68</v>
      </c>
      <c r="I10" s="17" t="s">
        <v>63</v>
      </c>
      <c r="J10" s="26">
        <v>24000</v>
      </c>
      <c r="K10" s="26">
        <v>132</v>
      </c>
      <c r="L10" s="22">
        <f t="shared" si="0"/>
        <v>538560</v>
      </c>
      <c r="M10" s="25">
        <f t="shared" si="1"/>
        <v>2629440</v>
      </c>
    </row>
    <row r="11" spans="1:13">
      <c r="A11" s="19">
        <v>1846</v>
      </c>
      <c r="B11" s="19" t="s">
        <v>50</v>
      </c>
      <c r="C11" s="17" t="s">
        <v>41</v>
      </c>
      <c r="D11" s="17" t="s">
        <v>56</v>
      </c>
      <c r="E11" s="17">
        <v>81.599999999999994</v>
      </c>
      <c r="F11" s="17">
        <v>85.6</v>
      </c>
      <c r="H11" s="17" t="s">
        <v>71</v>
      </c>
      <c r="I11" s="17" t="s">
        <v>62</v>
      </c>
      <c r="J11" s="26">
        <v>20000</v>
      </c>
      <c r="K11" s="26">
        <v>91</v>
      </c>
      <c r="L11" s="22">
        <f t="shared" si="0"/>
        <v>309400</v>
      </c>
      <c r="M11" s="25">
        <f t="shared" si="1"/>
        <v>1510600</v>
      </c>
    </row>
    <row r="12" spans="1:13">
      <c r="A12" s="19">
        <v>2555</v>
      </c>
      <c r="B12" s="19" t="s">
        <v>51</v>
      </c>
      <c r="C12" s="17" t="s">
        <v>42</v>
      </c>
      <c r="D12" s="17" t="s">
        <v>57</v>
      </c>
      <c r="E12" s="17">
        <v>80.400000000000006</v>
      </c>
      <c r="F12" s="17">
        <v>77.2</v>
      </c>
      <c r="H12" s="17" t="s">
        <v>69</v>
      </c>
      <c r="I12" s="17" t="s">
        <v>63</v>
      </c>
      <c r="J12" s="26">
        <v>24000</v>
      </c>
      <c r="K12" s="26">
        <v>89</v>
      </c>
      <c r="L12" s="22">
        <f t="shared" si="0"/>
        <v>363120</v>
      </c>
      <c r="M12" s="25">
        <f t="shared" si="1"/>
        <v>1772880</v>
      </c>
    </row>
    <row r="13" spans="1:13">
      <c r="A13" s="15"/>
      <c r="B13" s="15"/>
      <c r="C13" s="15"/>
      <c r="D13" s="15"/>
      <c r="E13" s="15"/>
      <c r="F13" s="15"/>
      <c r="H13" s="15"/>
      <c r="I13" s="15"/>
      <c r="J13" s="15"/>
      <c r="K13" s="15"/>
      <c r="L13" s="15"/>
    </row>
    <row r="14" spans="1:13">
      <c r="C14" s="15"/>
      <c r="H14" s="15"/>
      <c r="I14" s="15"/>
      <c r="L14" s="54" t="s">
        <v>73</v>
      </c>
      <c r="M14" s="54"/>
    </row>
    <row r="15" spans="1:13">
      <c r="C15" s="15"/>
      <c r="E15" s="18" t="s">
        <v>38</v>
      </c>
      <c r="F15" s="17"/>
      <c r="H15" s="15"/>
      <c r="I15" s="15"/>
      <c r="L15" s="55"/>
      <c r="M15" s="55"/>
    </row>
    <row r="17" spans="1:13">
      <c r="A17" s="13" t="s">
        <v>95</v>
      </c>
      <c r="B17" s="12" t="s">
        <v>97</v>
      </c>
      <c r="C17" s="8"/>
      <c r="D17" s="8"/>
      <c r="H17" s="28" t="s">
        <v>96</v>
      </c>
      <c r="I17" s="34" t="s">
        <v>76</v>
      </c>
      <c r="J17" s="27"/>
      <c r="K17" s="27"/>
    </row>
    <row r="18" spans="1:13">
      <c r="A18" s="9" t="s">
        <v>0</v>
      </c>
      <c r="B18" s="9" t="s">
        <v>99</v>
      </c>
      <c r="C18" s="9" t="s">
        <v>100</v>
      </c>
      <c r="D18" s="9" t="s">
        <v>101</v>
      </c>
      <c r="E18" s="9" t="s">
        <v>111</v>
      </c>
      <c r="F18" s="11" t="s">
        <v>94</v>
      </c>
      <c r="H18" s="29" t="s">
        <v>75</v>
      </c>
      <c r="I18" s="29" t="s">
        <v>77</v>
      </c>
      <c r="J18" s="18" t="s">
        <v>83</v>
      </c>
      <c r="K18" s="35"/>
      <c r="L18" s="27" t="s">
        <v>78</v>
      </c>
      <c r="M18" s="27"/>
    </row>
    <row r="19" spans="1:13">
      <c r="A19" s="10" t="s">
        <v>102</v>
      </c>
      <c r="B19" s="10">
        <v>27</v>
      </c>
      <c r="C19" s="36">
        <v>30</v>
      </c>
      <c r="D19" s="36">
        <v>30</v>
      </c>
      <c r="E19" s="36">
        <f>SUM(B19:D19)</f>
        <v>87</v>
      </c>
      <c r="F19" s="10"/>
      <c r="H19" s="30" t="s">
        <v>85</v>
      </c>
      <c r="I19" s="29">
        <v>8</v>
      </c>
      <c r="J19" s="31"/>
      <c r="K19" s="27"/>
      <c r="L19" s="29" t="s">
        <v>79</v>
      </c>
      <c r="M19" s="29" t="s">
        <v>82</v>
      </c>
    </row>
    <row r="20" spans="1:13">
      <c r="A20" s="10" t="s">
        <v>103</v>
      </c>
      <c r="B20" s="10">
        <v>29</v>
      </c>
      <c r="C20" s="36">
        <v>32</v>
      </c>
      <c r="D20" s="36">
        <v>34</v>
      </c>
      <c r="E20" s="36">
        <f t="shared" ref="E20:E27" si="2">SUM(B20:D20)</f>
        <v>95</v>
      </c>
      <c r="F20" s="10"/>
      <c r="H20" s="30" t="s">
        <v>86</v>
      </c>
      <c r="I20" s="29">
        <v>24</v>
      </c>
      <c r="J20" s="31"/>
      <c r="L20" s="33">
        <v>1</v>
      </c>
      <c r="M20" s="32" t="s">
        <v>80</v>
      </c>
    </row>
    <row r="21" spans="1:13">
      <c r="A21" s="10" t="s">
        <v>104</v>
      </c>
      <c r="B21" s="10">
        <v>26</v>
      </c>
      <c r="C21" s="36">
        <v>28</v>
      </c>
      <c r="D21" s="36">
        <v>32</v>
      </c>
      <c r="E21" s="36">
        <f t="shared" si="2"/>
        <v>86</v>
      </c>
      <c r="F21" s="10"/>
      <c r="H21" s="30" t="s">
        <v>87</v>
      </c>
      <c r="I21" s="29">
        <v>19</v>
      </c>
      <c r="J21" s="31"/>
      <c r="L21" s="33">
        <v>24</v>
      </c>
      <c r="M21" s="32" t="s">
        <v>81</v>
      </c>
    </row>
    <row r="22" spans="1:13">
      <c r="A22" s="10" t="s">
        <v>105</v>
      </c>
      <c r="B22" s="10">
        <v>19</v>
      </c>
      <c r="C22" s="36">
        <v>21</v>
      </c>
      <c r="D22" s="36">
        <v>28</v>
      </c>
      <c r="E22" s="36">
        <f t="shared" si="2"/>
        <v>68</v>
      </c>
      <c r="F22" s="10"/>
      <c r="H22" s="30" t="s">
        <v>88</v>
      </c>
      <c r="I22" s="29">
        <v>53</v>
      </c>
      <c r="J22" s="31"/>
      <c r="L22" s="33">
        <v>48</v>
      </c>
      <c r="M22" s="32" t="s">
        <v>84</v>
      </c>
    </row>
    <row r="23" spans="1:13">
      <c r="A23" s="10" t="s">
        <v>106</v>
      </c>
      <c r="B23" s="10">
        <v>21</v>
      </c>
      <c r="C23" s="36">
        <v>24</v>
      </c>
      <c r="D23" s="36">
        <v>28</v>
      </c>
      <c r="E23" s="36">
        <f t="shared" si="2"/>
        <v>73</v>
      </c>
      <c r="F23" s="10"/>
      <c r="H23" s="30" t="s">
        <v>89</v>
      </c>
      <c r="I23" s="29">
        <v>38</v>
      </c>
      <c r="J23" s="31"/>
    </row>
    <row r="24" spans="1:13">
      <c r="A24" s="10" t="s">
        <v>107</v>
      </c>
      <c r="B24" s="10">
        <v>26</v>
      </c>
      <c r="C24" s="36">
        <v>31</v>
      </c>
      <c r="D24" s="36">
        <v>32</v>
      </c>
      <c r="E24" s="36">
        <f t="shared" si="2"/>
        <v>89</v>
      </c>
      <c r="F24" s="10"/>
      <c r="H24" s="30" t="s">
        <v>90</v>
      </c>
      <c r="I24" s="29">
        <v>61</v>
      </c>
      <c r="J24" s="31"/>
    </row>
    <row r="25" spans="1:13">
      <c r="A25" s="10" t="s">
        <v>108</v>
      </c>
      <c r="B25" s="10">
        <v>29</v>
      </c>
      <c r="C25" s="36">
        <v>28</v>
      </c>
      <c r="D25" s="36">
        <v>33</v>
      </c>
      <c r="E25" s="36">
        <f t="shared" si="2"/>
        <v>90</v>
      </c>
      <c r="F25" s="10"/>
      <c r="H25" s="30" t="s">
        <v>91</v>
      </c>
      <c r="I25" s="29">
        <v>42</v>
      </c>
      <c r="J25" s="31"/>
    </row>
    <row r="26" spans="1:13">
      <c r="A26" s="10" t="s">
        <v>109</v>
      </c>
      <c r="B26" s="10">
        <v>25</v>
      </c>
      <c r="C26" s="36">
        <v>34</v>
      </c>
      <c r="D26" s="36">
        <v>32</v>
      </c>
      <c r="E26" s="36">
        <f t="shared" si="2"/>
        <v>91</v>
      </c>
      <c r="F26" s="10"/>
      <c r="H26" s="30" t="s">
        <v>92</v>
      </c>
      <c r="I26" s="29">
        <v>5</v>
      </c>
      <c r="J26" s="31"/>
    </row>
    <row r="27" spans="1:13">
      <c r="A27" s="10" t="s">
        <v>110</v>
      </c>
      <c r="B27" s="10">
        <v>18</v>
      </c>
      <c r="C27" s="36">
        <v>24</v>
      </c>
      <c r="D27" s="36">
        <v>29</v>
      </c>
      <c r="E27" s="36">
        <f t="shared" si="2"/>
        <v>71</v>
      </c>
      <c r="F27" s="10"/>
      <c r="H27" s="30" t="s">
        <v>93</v>
      </c>
      <c r="I27" s="29">
        <v>34</v>
      </c>
      <c r="J27" s="31"/>
    </row>
    <row r="28" spans="1:13">
      <c r="J28" s="27"/>
    </row>
    <row r="29" spans="1:13">
      <c r="A29" s="37" t="s">
        <v>114</v>
      </c>
      <c r="B29" s="38" t="s">
        <v>115</v>
      </c>
      <c r="C29"/>
      <c r="D29"/>
      <c r="E29"/>
      <c r="F29"/>
      <c r="J29" s="27"/>
    </row>
    <row r="30" spans="1:13">
      <c r="A30" s="24" t="s">
        <v>37</v>
      </c>
      <c r="B30" s="24" t="s">
        <v>116</v>
      </c>
      <c r="C30" s="24" t="s">
        <v>117</v>
      </c>
      <c r="D30" s="24" t="s">
        <v>118</v>
      </c>
      <c r="E30" s="24" t="s">
        <v>119</v>
      </c>
      <c r="F30" s="24" t="s">
        <v>120</v>
      </c>
      <c r="J30" s="27"/>
    </row>
    <row r="31" spans="1:13">
      <c r="A31" s="24" t="s">
        <v>122</v>
      </c>
      <c r="B31" s="39">
        <v>88</v>
      </c>
      <c r="C31" s="39">
        <v>92</v>
      </c>
      <c r="D31" s="40">
        <v>91</v>
      </c>
      <c r="E31" s="24">
        <f>SUM(B31:D31)</f>
        <v>271</v>
      </c>
      <c r="F31" s="41">
        <f>AVERAGE(B31:D31)</f>
        <v>90.333333333333329</v>
      </c>
      <c r="J31" s="27"/>
    </row>
    <row r="32" spans="1:13">
      <c r="A32" s="24" t="s">
        <v>123</v>
      </c>
      <c r="B32" s="39">
        <v>79</v>
      </c>
      <c r="C32" s="39">
        <v>87</v>
      </c>
      <c r="D32" s="40">
        <v>90</v>
      </c>
      <c r="E32" s="24">
        <f t="shared" ref="E32:E40" si="3">SUM(B32:D32)</f>
        <v>256</v>
      </c>
      <c r="F32" s="41">
        <f t="shared" ref="F32:F40" si="4">AVERAGE(B32:D32)</f>
        <v>85.333333333333329</v>
      </c>
      <c r="J32" s="27"/>
    </row>
    <row r="33" spans="1:10">
      <c r="A33" s="24" t="s">
        <v>128</v>
      </c>
      <c r="B33" s="39">
        <v>92</v>
      </c>
      <c r="C33" s="39">
        <v>82</v>
      </c>
      <c r="D33" s="40">
        <v>91</v>
      </c>
      <c r="E33" s="24">
        <f t="shared" si="3"/>
        <v>265</v>
      </c>
      <c r="F33" s="41">
        <f t="shared" si="4"/>
        <v>88.333333333333329</v>
      </c>
      <c r="J33" s="27"/>
    </row>
    <row r="34" spans="1:10">
      <c r="A34" s="24" t="s">
        <v>125</v>
      </c>
      <c r="B34" s="39">
        <v>91</v>
      </c>
      <c r="C34" s="39">
        <v>94</v>
      </c>
      <c r="D34" s="40">
        <v>98</v>
      </c>
      <c r="E34" s="24">
        <f t="shared" si="3"/>
        <v>283</v>
      </c>
      <c r="F34" s="41">
        <f t="shared" si="4"/>
        <v>94.333333333333329</v>
      </c>
    </row>
    <row r="35" spans="1:10">
      <c r="A35" s="24" t="s">
        <v>129</v>
      </c>
      <c r="B35" s="39">
        <v>97</v>
      </c>
      <c r="C35" s="39">
        <v>96</v>
      </c>
      <c r="D35" s="40">
        <v>92</v>
      </c>
      <c r="E35" s="24">
        <f t="shared" si="3"/>
        <v>285</v>
      </c>
      <c r="F35" s="41">
        <f t="shared" si="4"/>
        <v>95</v>
      </c>
    </row>
    <row r="36" spans="1:10">
      <c r="A36" s="24" t="s">
        <v>126</v>
      </c>
      <c r="B36" s="39">
        <v>89</v>
      </c>
      <c r="C36" s="39">
        <v>90</v>
      </c>
      <c r="D36" s="40">
        <v>81</v>
      </c>
      <c r="E36" s="24">
        <f t="shared" si="3"/>
        <v>260</v>
      </c>
      <c r="F36" s="41">
        <f t="shared" si="4"/>
        <v>86.666666666666671</v>
      </c>
    </row>
    <row r="37" spans="1:10">
      <c r="A37" s="24" t="s">
        <v>127</v>
      </c>
      <c r="B37" s="39">
        <v>68</v>
      </c>
      <c r="C37" s="39">
        <v>76</v>
      </c>
      <c r="D37" s="40">
        <v>82</v>
      </c>
      <c r="E37" s="24">
        <f t="shared" si="3"/>
        <v>226</v>
      </c>
      <c r="F37" s="41">
        <f t="shared" si="4"/>
        <v>75.333333333333329</v>
      </c>
    </row>
    <row r="38" spans="1:10">
      <c r="A38" s="24" t="s">
        <v>130</v>
      </c>
      <c r="B38" s="39">
        <v>82</v>
      </c>
      <c r="C38" s="39">
        <v>79</v>
      </c>
      <c r="D38" s="40">
        <v>91</v>
      </c>
      <c r="E38" s="24">
        <f t="shared" si="3"/>
        <v>252</v>
      </c>
      <c r="F38" s="41">
        <f t="shared" si="4"/>
        <v>84</v>
      </c>
    </row>
    <row r="39" spans="1:10">
      <c r="A39" s="24" t="s">
        <v>131</v>
      </c>
      <c r="B39" s="39">
        <v>83</v>
      </c>
      <c r="C39" s="39">
        <v>69</v>
      </c>
      <c r="D39" s="40">
        <v>77</v>
      </c>
      <c r="E39" s="24">
        <f t="shared" si="3"/>
        <v>229</v>
      </c>
      <c r="F39" s="41">
        <f t="shared" si="4"/>
        <v>76.333333333333329</v>
      </c>
      <c r="H39" s="56" t="s">
        <v>121</v>
      </c>
      <c r="I39" s="57"/>
      <c r="J39" s="58"/>
    </row>
    <row r="40" spans="1:10">
      <c r="A40" s="24" t="s">
        <v>124</v>
      </c>
      <c r="B40" s="39">
        <v>76</v>
      </c>
      <c r="C40" s="39">
        <v>77</v>
      </c>
      <c r="D40" s="40">
        <v>64</v>
      </c>
      <c r="E40" s="24">
        <f t="shared" si="3"/>
        <v>217</v>
      </c>
      <c r="F40" s="41">
        <f t="shared" si="4"/>
        <v>72.333333333333329</v>
      </c>
      <c r="H40" s="59"/>
      <c r="I40" s="60"/>
      <c r="J40" s="61"/>
    </row>
  </sheetData>
  <sortState ref="H17:L26">
    <sortCondition ref="H17:H26"/>
  </sortState>
  <mergeCells count="4">
    <mergeCell ref="L14:M14"/>
    <mergeCell ref="L15:M15"/>
    <mergeCell ref="H39:J39"/>
    <mergeCell ref="H40:J40"/>
  </mergeCells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9"/>
  <sheetViews>
    <sheetView workbookViewId="0">
      <selection sqref="A1:I1"/>
    </sheetView>
  </sheetViews>
  <sheetFormatPr defaultRowHeight="16.5"/>
  <cols>
    <col min="1" max="1" width="11" style="4" bestFit="1" customWidth="1"/>
    <col min="2" max="6" width="9" style="4" customWidth="1"/>
    <col min="7" max="8" width="11.875" style="4" bestFit="1" customWidth="1"/>
    <col min="9" max="9" width="13" style="4" bestFit="1" customWidth="1"/>
    <col min="10" max="10" width="9.5" style="4" bestFit="1" customWidth="1"/>
    <col min="11" max="18" width="10.5" style="4" bestFit="1" customWidth="1"/>
    <col min="19" max="20" width="11.625" style="4" bestFit="1" customWidth="1"/>
    <col min="21" max="16384" width="9" style="4"/>
  </cols>
  <sheetData>
    <row r="1" spans="1:9" ht="20.25">
      <c r="A1" s="62" t="s">
        <v>154</v>
      </c>
      <c r="B1" s="62"/>
      <c r="C1" s="62"/>
      <c r="D1" s="62"/>
      <c r="E1" s="62"/>
      <c r="F1" s="62"/>
      <c r="G1" s="62"/>
      <c r="H1" s="62"/>
      <c r="I1" s="62"/>
    </row>
    <row r="2" spans="1:9">
      <c r="A2" s="42"/>
      <c r="B2" s="42"/>
      <c r="C2" s="42"/>
      <c r="D2" s="42"/>
      <c r="E2" s="42"/>
      <c r="F2" s="42"/>
      <c r="G2" s="42"/>
      <c r="H2" s="42"/>
      <c r="I2" s="42"/>
    </row>
    <row r="3" spans="1:9">
      <c r="A3" s="29" t="s">
        <v>132</v>
      </c>
      <c r="B3" s="29" t="s">
        <v>136</v>
      </c>
      <c r="C3" s="29" t="s">
        <v>142</v>
      </c>
      <c r="D3" s="29" t="s">
        <v>143</v>
      </c>
      <c r="E3" s="29" t="s">
        <v>145</v>
      </c>
      <c r="F3" s="29" t="s">
        <v>144</v>
      </c>
      <c r="G3" s="29" t="s">
        <v>148</v>
      </c>
      <c r="H3" s="29" t="s">
        <v>146</v>
      </c>
      <c r="I3" s="29" t="s">
        <v>147</v>
      </c>
    </row>
    <row r="4" spans="1:9">
      <c r="A4" s="24" t="s">
        <v>133</v>
      </c>
      <c r="B4" s="24" t="s">
        <v>137</v>
      </c>
      <c r="C4" s="24" t="s">
        <v>149</v>
      </c>
      <c r="D4" s="43">
        <v>15000</v>
      </c>
      <c r="E4" s="40">
        <v>30000</v>
      </c>
      <c r="F4" s="40">
        <v>21023</v>
      </c>
      <c r="G4" s="43">
        <v>35000000</v>
      </c>
      <c r="H4" s="43">
        <v>33000000</v>
      </c>
      <c r="I4" s="43">
        <f t="shared" ref="I4:I18" si="0">ROUND(D4*F4-G4-H4,-5)</f>
        <v>247300000</v>
      </c>
    </row>
    <row r="5" spans="1:9">
      <c r="A5" s="24" t="s">
        <v>134</v>
      </c>
      <c r="B5" s="24" t="s">
        <v>138</v>
      </c>
      <c r="C5" s="24" t="s">
        <v>150</v>
      </c>
      <c r="D5" s="43">
        <v>27000</v>
      </c>
      <c r="E5" s="40">
        <v>30000</v>
      </c>
      <c r="F5" s="40">
        <v>22015</v>
      </c>
      <c r="G5" s="43">
        <v>25000000</v>
      </c>
      <c r="H5" s="43">
        <v>36000000</v>
      </c>
      <c r="I5" s="43">
        <f t="shared" si="0"/>
        <v>533400000</v>
      </c>
    </row>
    <row r="6" spans="1:9">
      <c r="A6" s="24" t="s">
        <v>135</v>
      </c>
      <c r="B6" s="24" t="s">
        <v>137</v>
      </c>
      <c r="C6" s="24" t="s">
        <v>149</v>
      </c>
      <c r="D6" s="43">
        <v>21000</v>
      </c>
      <c r="E6" s="40">
        <v>20000</v>
      </c>
      <c r="F6" s="40">
        <v>13521</v>
      </c>
      <c r="G6" s="43">
        <v>30000000</v>
      </c>
      <c r="H6" s="43">
        <v>33000000</v>
      </c>
      <c r="I6" s="43">
        <f t="shared" si="0"/>
        <v>220900000</v>
      </c>
    </row>
    <row r="7" spans="1:9">
      <c r="A7" s="24" t="s">
        <v>134</v>
      </c>
      <c r="B7" s="24" t="s">
        <v>139</v>
      </c>
      <c r="C7" s="24" t="s">
        <v>153</v>
      </c>
      <c r="D7" s="43">
        <v>27000</v>
      </c>
      <c r="E7" s="40">
        <v>30000</v>
      </c>
      <c r="F7" s="40">
        <v>23122</v>
      </c>
      <c r="G7" s="43">
        <v>25000000</v>
      </c>
      <c r="H7" s="43">
        <v>34000000</v>
      </c>
      <c r="I7" s="43">
        <f t="shared" si="0"/>
        <v>565300000</v>
      </c>
    </row>
    <row r="8" spans="1:9">
      <c r="A8" s="24" t="s">
        <v>135</v>
      </c>
      <c r="B8" s="24" t="s">
        <v>138</v>
      </c>
      <c r="C8" s="24" t="s">
        <v>150</v>
      </c>
      <c r="D8" s="43">
        <v>21000</v>
      </c>
      <c r="E8" s="40">
        <v>18000</v>
      </c>
      <c r="F8" s="40">
        <v>9532</v>
      </c>
      <c r="G8" s="43">
        <v>30000000</v>
      </c>
      <c r="H8" s="43">
        <v>36000000</v>
      </c>
      <c r="I8" s="43">
        <f t="shared" si="0"/>
        <v>134200000</v>
      </c>
    </row>
    <row r="9" spans="1:9">
      <c r="A9" s="24" t="s">
        <v>135</v>
      </c>
      <c r="B9" s="24" t="s">
        <v>139</v>
      </c>
      <c r="C9" s="24" t="s">
        <v>153</v>
      </c>
      <c r="D9" s="43">
        <v>21000</v>
      </c>
      <c r="E9" s="40">
        <v>17000</v>
      </c>
      <c r="F9" s="40">
        <v>11468</v>
      </c>
      <c r="G9" s="43">
        <v>30000000</v>
      </c>
      <c r="H9" s="43">
        <v>34000000</v>
      </c>
      <c r="I9" s="43">
        <f t="shared" si="0"/>
        <v>176800000</v>
      </c>
    </row>
    <row r="10" spans="1:9">
      <c r="A10" s="24" t="s">
        <v>133</v>
      </c>
      <c r="B10" s="24" t="s">
        <v>141</v>
      </c>
      <c r="C10" s="24" t="s">
        <v>151</v>
      </c>
      <c r="D10" s="43">
        <v>15000</v>
      </c>
      <c r="E10" s="40">
        <v>23000</v>
      </c>
      <c r="F10" s="40">
        <v>11023</v>
      </c>
      <c r="G10" s="43">
        <v>35000000</v>
      </c>
      <c r="H10" s="43">
        <v>33500000</v>
      </c>
      <c r="I10" s="43">
        <f t="shared" si="0"/>
        <v>96800000</v>
      </c>
    </row>
    <row r="11" spans="1:9">
      <c r="A11" s="24" t="s">
        <v>134</v>
      </c>
      <c r="B11" s="24" t="s">
        <v>140</v>
      </c>
      <c r="C11" s="24" t="s">
        <v>152</v>
      </c>
      <c r="D11" s="43">
        <v>27000</v>
      </c>
      <c r="E11" s="40">
        <v>25000</v>
      </c>
      <c r="F11" s="40">
        <v>16532</v>
      </c>
      <c r="G11" s="43">
        <v>25000000</v>
      </c>
      <c r="H11" s="43">
        <v>34500000</v>
      </c>
      <c r="I11" s="43">
        <f t="shared" si="0"/>
        <v>386900000</v>
      </c>
    </row>
    <row r="12" spans="1:9">
      <c r="A12" s="24" t="s">
        <v>133</v>
      </c>
      <c r="B12" s="24" t="s">
        <v>140</v>
      </c>
      <c r="C12" s="24" t="s">
        <v>152</v>
      </c>
      <c r="D12" s="43">
        <v>15000</v>
      </c>
      <c r="E12" s="40">
        <v>18000</v>
      </c>
      <c r="F12" s="40">
        <v>9368</v>
      </c>
      <c r="G12" s="43">
        <v>35000000</v>
      </c>
      <c r="H12" s="43">
        <v>34500000</v>
      </c>
      <c r="I12" s="43">
        <f t="shared" si="0"/>
        <v>71000000</v>
      </c>
    </row>
    <row r="13" spans="1:9">
      <c r="A13" s="24" t="s">
        <v>133</v>
      </c>
      <c r="B13" s="24" t="s">
        <v>138</v>
      </c>
      <c r="C13" s="24" t="s">
        <v>150</v>
      </c>
      <c r="D13" s="43">
        <v>15000</v>
      </c>
      <c r="E13" s="40">
        <v>25000</v>
      </c>
      <c r="F13" s="40">
        <v>14038</v>
      </c>
      <c r="G13" s="43">
        <v>35000000</v>
      </c>
      <c r="H13" s="43">
        <v>36000000</v>
      </c>
      <c r="I13" s="43">
        <f t="shared" si="0"/>
        <v>139600000</v>
      </c>
    </row>
    <row r="14" spans="1:9">
      <c r="A14" s="24" t="s">
        <v>133</v>
      </c>
      <c r="B14" s="24" t="s">
        <v>139</v>
      </c>
      <c r="C14" s="24" t="s">
        <v>153</v>
      </c>
      <c r="D14" s="43">
        <v>15000</v>
      </c>
      <c r="E14" s="40">
        <v>20000</v>
      </c>
      <c r="F14" s="40">
        <v>10015</v>
      </c>
      <c r="G14" s="43">
        <v>35000000</v>
      </c>
      <c r="H14" s="43">
        <v>34000000</v>
      </c>
      <c r="I14" s="43">
        <f t="shared" si="0"/>
        <v>81200000</v>
      </c>
    </row>
    <row r="15" spans="1:9">
      <c r="A15" s="24" t="s">
        <v>135</v>
      </c>
      <c r="B15" s="24" t="s">
        <v>140</v>
      </c>
      <c r="C15" s="24" t="s">
        <v>152</v>
      </c>
      <c r="D15" s="43">
        <v>21000</v>
      </c>
      <c r="E15" s="40">
        <v>15000</v>
      </c>
      <c r="F15" s="40">
        <v>6358</v>
      </c>
      <c r="G15" s="43">
        <v>30000000</v>
      </c>
      <c r="H15" s="43">
        <v>34500000</v>
      </c>
      <c r="I15" s="43">
        <f t="shared" si="0"/>
        <v>69000000</v>
      </c>
    </row>
    <row r="16" spans="1:9">
      <c r="A16" s="24" t="s">
        <v>134</v>
      </c>
      <c r="B16" s="24" t="s">
        <v>137</v>
      </c>
      <c r="C16" s="24" t="s">
        <v>149</v>
      </c>
      <c r="D16" s="43">
        <v>27000</v>
      </c>
      <c r="E16" s="40">
        <v>35000</v>
      </c>
      <c r="F16" s="40">
        <v>23253</v>
      </c>
      <c r="G16" s="43">
        <v>25000000</v>
      </c>
      <c r="H16" s="43">
        <v>33000000</v>
      </c>
      <c r="I16" s="43">
        <f t="shared" si="0"/>
        <v>569800000</v>
      </c>
    </row>
    <row r="17" spans="1:9">
      <c r="A17" s="24" t="s">
        <v>134</v>
      </c>
      <c r="B17" s="24" t="s">
        <v>141</v>
      </c>
      <c r="C17" s="24" t="s">
        <v>151</v>
      </c>
      <c r="D17" s="43">
        <v>27000</v>
      </c>
      <c r="E17" s="40">
        <v>28000</v>
      </c>
      <c r="F17" s="40">
        <v>19535</v>
      </c>
      <c r="G17" s="43">
        <v>25000000</v>
      </c>
      <c r="H17" s="43">
        <v>33500000</v>
      </c>
      <c r="I17" s="43">
        <f t="shared" si="0"/>
        <v>468900000</v>
      </c>
    </row>
    <row r="18" spans="1:9">
      <c r="A18" s="24" t="s">
        <v>135</v>
      </c>
      <c r="B18" s="24" t="s">
        <v>141</v>
      </c>
      <c r="C18" s="24" t="s">
        <v>151</v>
      </c>
      <c r="D18" s="43">
        <v>21000</v>
      </c>
      <c r="E18" s="40">
        <v>18000</v>
      </c>
      <c r="F18" s="40">
        <v>10214</v>
      </c>
      <c r="G18" s="43">
        <v>30000000</v>
      </c>
      <c r="H18" s="43">
        <v>33500000</v>
      </c>
      <c r="I18" s="43">
        <f t="shared" si="0"/>
        <v>151000000</v>
      </c>
    </row>
    <row r="20" spans="1:9">
      <c r="A20"/>
      <c r="B20"/>
      <c r="C20"/>
    </row>
    <row r="21" spans="1:9">
      <c r="A21"/>
      <c r="B21"/>
      <c r="C21"/>
      <c r="D21"/>
      <c r="E21"/>
    </row>
    <row r="22" spans="1:9">
      <c r="A22"/>
      <c r="B22"/>
      <c r="C22"/>
      <c r="D22"/>
      <c r="E22"/>
    </row>
    <row r="23" spans="1:9">
      <c r="A23"/>
      <c r="B23"/>
      <c r="C23"/>
      <c r="D23"/>
      <c r="E23"/>
    </row>
    <row r="24" spans="1:9">
      <c r="A24"/>
      <c r="B24"/>
      <c r="C24"/>
      <c r="D24"/>
      <c r="E24"/>
    </row>
    <row r="25" spans="1:9">
      <c r="A25"/>
      <c r="B25"/>
      <c r="C25"/>
      <c r="D25"/>
      <c r="E25"/>
    </row>
    <row r="26" spans="1:9">
      <c r="A26"/>
      <c r="B26"/>
      <c r="C26"/>
      <c r="D26"/>
      <c r="E26"/>
    </row>
    <row r="27" spans="1:9">
      <c r="A27"/>
      <c r="B27"/>
    </row>
    <row r="28" spans="1:9">
      <c r="A28"/>
      <c r="B28"/>
    </row>
    <row r="29" spans="1:9">
      <c r="A29"/>
      <c r="B29"/>
    </row>
  </sheetData>
  <sortState ref="A4:H21">
    <sortCondition descending="1" ref="B4:B21"/>
  </sortState>
  <dataConsolidate function="average" topLabels="1">
    <dataRefs count="3">
      <dataRef ref="A2:F9" sheet="분석작업-1"/>
      <dataRef ref="H2:M9" sheet="분석작업-1"/>
      <dataRef ref="A12:F19" sheet="분석작업-1"/>
    </dataRefs>
  </dataConsolidate>
  <mergeCells count="1">
    <mergeCell ref="A1:I1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workbookViewId="0">
      <selection sqref="A1:H1"/>
    </sheetView>
  </sheetViews>
  <sheetFormatPr defaultRowHeight="16.5"/>
  <cols>
    <col min="1" max="5" width="9" style="4"/>
    <col min="6" max="6" width="10.875" style="4" bestFit="1" customWidth="1"/>
    <col min="7" max="7" width="9" style="4"/>
    <col min="8" max="8" width="11.875" style="4" bestFit="1" customWidth="1"/>
    <col min="9" max="16384" width="9" style="4"/>
  </cols>
  <sheetData>
    <row r="1" spans="1:8" ht="20.25">
      <c r="A1" s="63" t="s">
        <v>155</v>
      </c>
      <c r="B1" s="63"/>
      <c r="C1" s="63"/>
      <c r="D1" s="63"/>
      <c r="E1" s="63"/>
      <c r="F1" s="63"/>
      <c r="G1" s="63"/>
      <c r="H1" s="63"/>
    </row>
    <row r="3" spans="1:8">
      <c r="A3" s="24" t="s">
        <v>156</v>
      </c>
      <c r="B3" s="24" t="s">
        <v>157</v>
      </c>
      <c r="C3" s="24" t="s">
        <v>170</v>
      </c>
      <c r="D3" s="24" t="s">
        <v>168</v>
      </c>
      <c r="E3" s="24" t="s">
        <v>171</v>
      </c>
      <c r="F3" s="24" t="s">
        <v>166</v>
      </c>
      <c r="G3" s="24" t="s">
        <v>167</v>
      </c>
      <c r="H3" s="24" t="s">
        <v>169</v>
      </c>
    </row>
    <row r="4" spans="1:8">
      <c r="A4" s="24" t="s">
        <v>158</v>
      </c>
      <c r="B4" s="24" t="s">
        <v>159</v>
      </c>
      <c r="C4" s="43">
        <v>50</v>
      </c>
      <c r="D4" s="43">
        <v>29</v>
      </c>
      <c r="E4" s="43">
        <f t="shared" ref="E4:E19" si="0">C4-D4</f>
        <v>21</v>
      </c>
      <c r="F4" s="43">
        <v>2000000</v>
      </c>
      <c r="G4" s="44">
        <v>0.05</v>
      </c>
      <c r="H4" s="43">
        <f t="shared" ref="H4:H19" si="1">D4*F4-D4*F4*G4</f>
        <v>55100000</v>
      </c>
    </row>
    <row r="5" spans="1:8">
      <c r="A5" s="24" t="s">
        <v>163</v>
      </c>
      <c r="B5" s="24" t="s">
        <v>159</v>
      </c>
      <c r="C5" s="43">
        <v>50</v>
      </c>
      <c r="D5" s="43">
        <v>39</v>
      </c>
      <c r="E5" s="43">
        <f t="shared" si="0"/>
        <v>11</v>
      </c>
      <c r="F5" s="43">
        <v>2400000</v>
      </c>
      <c r="G5" s="44">
        <v>0.05</v>
      </c>
      <c r="H5" s="43">
        <f t="shared" si="1"/>
        <v>88920000</v>
      </c>
    </row>
    <row r="6" spans="1:8">
      <c r="A6" s="24" t="s">
        <v>164</v>
      </c>
      <c r="B6" s="24" t="s">
        <v>159</v>
      </c>
      <c r="C6" s="43">
        <v>50</v>
      </c>
      <c r="D6" s="43">
        <v>28</v>
      </c>
      <c r="E6" s="43">
        <f t="shared" si="0"/>
        <v>22</v>
      </c>
      <c r="F6" s="43">
        <v>1600000</v>
      </c>
      <c r="G6" s="44">
        <v>0.05</v>
      </c>
      <c r="H6" s="43">
        <f t="shared" si="1"/>
        <v>42560000</v>
      </c>
    </row>
    <row r="7" spans="1:8">
      <c r="A7" s="24" t="s">
        <v>165</v>
      </c>
      <c r="B7" s="24" t="s">
        <v>159</v>
      </c>
      <c r="C7" s="43">
        <v>50</v>
      </c>
      <c r="D7" s="43">
        <v>41</v>
      </c>
      <c r="E7" s="43">
        <f t="shared" si="0"/>
        <v>9</v>
      </c>
      <c r="F7" s="43">
        <v>1500000</v>
      </c>
      <c r="G7" s="44">
        <v>0.05</v>
      </c>
      <c r="H7" s="43">
        <f t="shared" si="1"/>
        <v>58425000</v>
      </c>
    </row>
    <row r="8" spans="1:8">
      <c r="A8" s="24" t="s">
        <v>158</v>
      </c>
      <c r="B8" s="24" t="s">
        <v>162</v>
      </c>
      <c r="C8" s="43">
        <v>100</v>
      </c>
      <c r="D8" s="43">
        <v>72</v>
      </c>
      <c r="E8" s="43">
        <f t="shared" si="0"/>
        <v>28</v>
      </c>
      <c r="F8" s="43">
        <v>1000000</v>
      </c>
      <c r="G8" s="44">
        <v>0.03</v>
      </c>
      <c r="H8" s="43">
        <f t="shared" si="1"/>
        <v>69840000</v>
      </c>
    </row>
    <row r="9" spans="1:8">
      <c r="A9" s="24" t="s">
        <v>163</v>
      </c>
      <c r="B9" s="24" t="s">
        <v>162</v>
      </c>
      <c r="C9" s="43">
        <v>100</v>
      </c>
      <c r="D9" s="43">
        <v>89</v>
      </c>
      <c r="E9" s="43">
        <f t="shared" si="0"/>
        <v>11</v>
      </c>
      <c r="F9" s="43">
        <v>1200000</v>
      </c>
      <c r="G9" s="44">
        <v>0.03</v>
      </c>
      <c r="H9" s="43">
        <f t="shared" si="1"/>
        <v>103596000</v>
      </c>
    </row>
    <row r="10" spans="1:8">
      <c r="A10" s="24" t="s">
        <v>164</v>
      </c>
      <c r="B10" s="24" t="s">
        <v>162</v>
      </c>
      <c r="C10" s="43">
        <v>100</v>
      </c>
      <c r="D10" s="43">
        <v>93</v>
      </c>
      <c r="E10" s="43">
        <f t="shared" si="0"/>
        <v>7</v>
      </c>
      <c r="F10" s="43">
        <v>600000</v>
      </c>
      <c r="G10" s="44">
        <v>0.03</v>
      </c>
      <c r="H10" s="43">
        <f t="shared" si="1"/>
        <v>54126000</v>
      </c>
    </row>
    <row r="11" spans="1:8">
      <c r="A11" s="24" t="s">
        <v>165</v>
      </c>
      <c r="B11" s="24" t="s">
        <v>162</v>
      </c>
      <c r="C11" s="43">
        <v>100</v>
      </c>
      <c r="D11" s="43">
        <v>90</v>
      </c>
      <c r="E11" s="43">
        <f t="shared" si="0"/>
        <v>10</v>
      </c>
      <c r="F11" s="43">
        <v>750000</v>
      </c>
      <c r="G11" s="44">
        <v>0.03</v>
      </c>
      <c r="H11" s="43">
        <f t="shared" si="1"/>
        <v>65475000</v>
      </c>
    </row>
    <row r="12" spans="1:8">
      <c r="A12" s="24" t="s">
        <v>158</v>
      </c>
      <c r="B12" s="24" t="s">
        <v>161</v>
      </c>
      <c r="C12" s="43">
        <v>100</v>
      </c>
      <c r="D12" s="43">
        <v>88</v>
      </c>
      <c r="E12" s="43">
        <f t="shared" si="0"/>
        <v>12</v>
      </c>
      <c r="F12" s="43">
        <v>1200000</v>
      </c>
      <c r="G12" s="44">
        <v>0.03</v>
      </c>
      <c r="H12" s="43">
        <f t="shared" si="1"/>
        <v>102432000</v>
      </c>
    </row>
    <row r="13" spans="1:8">
      <c r="A13" s="24" t="s">
        <v>163</v>
      </c>
      <c r="B13" s="24" t="s">
        <v>161</v>
      </c>
      <c r="C13" s="43">
        <v>100</v>
      </c>
      <c r="D13" s="43">
        <v>76</v>
      </c>
      <c r="E13" s="43">
        <f t="shared" si="0"/>
        <v>24</v>
      </c>
      <c r="F13" s="43">
        <v>1500000</v>
      </c>
      <c r="G13" s="44">
        <v>0.03</v>
      </c>
      <c r="H13" s="43">
        <f t="shared" si="1"/>
        <v>110580000</v>
      </c>
    </row>
    <row r="14" spans="1:8">
      <c r="A14" s="24" t="s">
        <v>164</v>
      </c>
      <c r="B14" s="24" t="s">
        <v>161</v>
      </c>
      <c r="C14" s="43">
        <v>100</v>
      </c>
      <c r="D14" s="43">
        <v>95</v>
      </c>
      <c r="E14" s="43">
        <f t="shared" si="0"/>
        <v>5</v>
      </c>
      <c r="F14" s="43">
        <v>800000</v>
      </c>
      <c r="G14" s="44">
        <v>0.03</v>
      </c>
      <c r="H14" s="43">
        <f t="shared" si="1"/>
        <v>73720000</v>
      </c>
    </row>
    <row r="15" spans="1:8">
      <c r="A15" s="24" t="s">
        <v>165</v>
      </c>
      <c r="B15" s="24" t="s">
        <v>161</v>
      </c>
      <c r="C15" s="43">
        <v>100</v>
      </c>
      <c r="D15" s="43">
        <v>83</v>
      </c>
      <c r="E15" s="43">
        <f t="shared" si="0"/>
        <v>17</v>
      </c>
      <c r="F15" s="43">
        <v>1000000</v>
      </c>
      <c r="G15" s="44">
        <v>0.03</v>
      </c>
      <c r="H15" s="43">
        <f t="shared" si="1"/>
        <v>80510000</v>
      </c>
    </row>
    <row r="16" spans="1:8">
      <c r="A16" s="24" t="s">
        <v>158</v>
      </c>
      <c r="B16" s="24" t="s">
        <v>160</v>
      </c>
      <c r="C16" s="43">
        <v>80</v>
      </c>
      <c r="D16" s="43">
        <v>65</v>
      </c>
      <c r="E16" s="43">
        <f t="shared" si="0"/>
        <v>15</v>
      </c>
      <c r="F16" s="43">
        <v>1600000</v>
      </c>
      <c r="G16" s="44">
        <v>0.04</v>
      </c>
      <c r="H16" s="43">
        <f t="shared" si="1"/>
        <v>99840000</v>
      </c>
    </row>
    <row r="17" spans="1:8">
      <c r="A17" s="24" t="s">
        <v>163</v>
      </c>
      <c r="B17" s="24" t="s">
        <v>160</v>
      </c>
      <c r="C17" s="43">
        <v>80</v>
      </c>
      <c r="D17" s="43">
        <v>64</v>
      </c>
      <c r="E17" s="43">
        <f t="shared" si="0"/>
        <v>16</v>
      </c>
      <c r="F17" s="43">
        <v>2000000</v>
      </c>
      <c r="G17" s="44">
        <v>0.04</v>
      </c>
      <c r="H17" s="43">
        <f t="shared" si="1"/>
        <v>122880000</v>
      </c>
    </row>
    <row r="18" spans="1:8">
      <c r="A18" s="24" t="s">
        <v>164</v>
      </c>
      <c r="B18" s="24" t="s">
        <v>160</v>
      </c>
      <c r="C18" s="43">
        <v>80</v>
      </c>
      <c r="D18" s="43">
        <v>77</v>
      </c>
      <c r="E18" s="43">
        <f t="shared" si="0"/>
        <v>3</v>
      </c>
      <c r="F18" s="43">
        <v>1200000</v>
      </c>
      <c r="G18" s="44">
        <v>0.04</v>
      </c>
      <c r="H18" s="43">
        <f t="shared" si="1"/>
        <v>88704000</v>
      </c>
    </row>
    <row r="19" spans="1:8">
      <c r="A19" s="24" t="s">
        <v>165</v>
      </c>
      <c r="B19" s="24" t="s">
        <v>160</v>
      </c>
      <c r="C19" s="43">
        <v>80</v>
      </c>
      <c r="D19" s="43">
        <v>68</v>
      </c>
      <c r="E19" s="43">
        <f t="shared" si="0"/>
        <v>12</v>
      </c>
      <c r="F19" s="43">
        <v>1200000</v>
      </c>
      <c r="G19" s="44">
        <v>0.04</v>
      </c>
      <c r="H19" s="43">
        <f t="shared" si="1"/>
        <v>78336000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sqref="A1:G1"/>
    </sheetView>
  </sheetViews>
  <sheetFormatPr defaultRowHeight="16.5"/>
  <cols>
    <col min="1" max="1" width="13" style="1" bestFit="1" customWidth="1"/>
    <col min="2" max="2" width="9.375" style="1" bestFit="1" customWidth="1"/>
    <col min="3" max="3" width="9.125" style="1" bestFit="1" customWidth="1"/>
    <col min="4" max="4" width="11.875" style="1" bestFit="1" customWidth="1"/>
    <col min="5" max="5" width="11.125" style="1" bestFit="1" customWidth="1"/>
    <col min="6" max="6" width="11.875" style="1" bestFit="1" customWidth="1"/>
    <col min="7" max="7" width="10.875" style="1" bestFit="1" customWidth="1"/>
    <col min="8" max="16384" width="9" style="1"/>
  </cols>
  <sheetData>
    <row r="1" spans="1:7" ht="20.25">
      <c r="A1" s="64" t="s">
        <v>179</v>
      </c>
      <c r="B1" s="64"/>
      <c r="C1" s="64"/>
      <c r="D1" s="64"/>
      <c r="E1" s="64"/>
      <c r="F1" s="64"/>
      <c r="G1" s="64"/>
    </row>
    <row r="3" spans="1:7">
      <c r="A3" s="45" t="s">
        <v>172</v>
      </c>
      <c r="B3" s="45" t="s">
        <v>173</v>
      </c>
      <c r="C3" s="46" t="s">
        <v>174</v>
      </c>
      <c r="D3" s="45" t="s">
        <v>175</v>
      </c>
      <c r="E3" s="46" t="s">
        <v>176</v>
      </c>
      <c r="F3" s="45" t="s">
        <v>177</v>
      </c>
      <c r="G3" s="45" t="s">
        <v>178</v>
      </c>
    </row>
    <row r="4" spans="1:7">
      <c r="A4" s="47" t="s">
        <v>180</v>
      </c>
      <c r="B4" s="48">
        <v>18500</v>
      </c>
      <c r="C4" s="48">
        <v>30</v>
      </c>
      <c r="D4" s="48">
        <f>B4*C4</f>
        <v>555000</v>
      </c>
      <c r="E4" s="48">
        <f>D4*0.25%</f>
        <v>1387.5</v>
      </c>
      <c r="F4" s="48">
        <v>750000</v>
      </c>
      <c r="G4" s="48">
        <f>F4-D4</f>
        <v>195000</v>
      </c>
    </row>
    <row r="5" spans="1:7">
      <c r="A5" s="47" t="s">
        <v>181</v>
      </c>
      <c r="B5" s="48">
        <v>8700</v>
      </c>
      <c r="C5" s="48">
        <v>295</v>
      </c>
      <c r="D5" s="48">
        <f t="shared" ref="D5:D15" si="0">B5*C5</f>
        <v>2566500</v>
      </c>
      <c r="E5" s="48">
        <f t="shared" ref="E5:E15" si="1">D5*0.25%</f>
        <v>6416.25</v>
      </c>
      <c r="F5" s="48">
        <v>2256750</v>
      </c>
      <c r="G5" s="48">
        <f t="shared" ref="G5:G15" si="2">F5-D5</f>
        <v>-309750</v>
      </c>
    </row>
    <row r="6" spans="1:7">
      <c r="A6" s="47" t="s">
        <v>182</v>
      </c>
      <c r="B6" s="48">
        <v>9900</v>
      </c>
      <c r="C6" s="48">
        <v>10</v>
      </c>
      <c r="D6" s="48">
        <f t="shared" si="0"/>
        <v>99000</v>
      </c>
      <c r="E6" s="48">
        <f t="shared" si="1"/>
        <v>247.5</v>
      </c>
      <c r="F6" s="48">
        <v>77000</v>
      </c>
      <c r="G6" s="48">
        <f t="shared" si="2"/>
        <v>-22000</v>
      </c>
    </row>
    <row r="7" spans="1:7">
      <c r="A7" s="47" t="s">
        <v>183</v>
      </c>
      <c r="B7" s="48">
        <v>23000</v>
      </c>
      <c r="C7" s="48">
        <v>500</v>
      </c>
      <c r="D7" s="48">
        <f t="shared" si="0"/>
        <v>11500000</v>
      </c>
      <c r="E7" s="48">
        <f t="shared" si="1"/>
        <v>28750</v>
      </c>
      <c r="F7" s="48">
        <v>12500000</v>
      </c>
      <c r="G7" s="48">
        <f t="shared" si="2"/>
        <v>1000000</v>
      </c>
    </row>
    <row r="8" spans="1:7">
      <c r="A8" s="47" t="s">
        <v>184</v>
      </c>
      <c r="B8" s="48">
        <v>125000</v>
      </c>
      <c r="C8" s="48">
        <v>30</v>
      </c>
      <c r="D8" s="48">
        <f t="shared" si="0"/>
        <v>3750000</v>
      </c>
      <c r="E8" s="48">
        <f t="shared" si="1"/>
        <v>9375</v>
      </c>
      <c r="F8" s="48">
        <v>2670000</v>
      </c>
      <c r="G8" s="48">
        <f t="shared" si="2"/>
        <v>-1080000</v>
      </c>
    </row>
    <row r="9" spans="1:7">
      <c r="A9" s="47" t="s">
        <v>185</v>
      </c>
      <c r="B9" s="48">
        <v>6600</v>
      </c>
      <c r="C9" s="48">
        <v>120</v>
      </c>
      <c r="D9" s="48">
        <f t="shared" si="0"/>
        <v>792000</v>
      </c>
      <c r="E9" s="48">
        <f t="shared" si="1"/>
        <v>1980</v>
      </c>
      <c r="F9" s="48">
        <v>1440000</v>
      </c>
      <c r="G9" s="48">
        <f t="shared" si="2"/>
        <v>648000</v>
      </c>
    </row>
    <row r="10" spans="1:7">
      <c r="A10" s="47" t="s">
        <v>186</v>
      </c>
      <c r="B10" s="48">
        <v>11000</v>
      </c>
      <c r="C10" s="48">
        <v>50</v>
      </c>
      <c r="D10" s="48">
        <f t="shared" si="0"/>
        <v>550000</v>
      </c>
      <c r="E10" s="48">
        <f t="shared" si="1"/>
        <v>1375</v>
      </c>
      <c r="F10" s="48">
        <v>675000</v>
      </c>
      <c r="G10" s="48">
        <f t="shared" si="2"/>
        <v>125000</v>
      </c>
    </row>
    <row r="11" spans="1:7">
      <c r="A11" s="47" t="s">
        <v>187</v>
      </c>
      <c r="B11" s="48">
        <v>20000</v>
      </c>
      <c r="C11" s="48">
        <v>200</v>
      </c>
      <c r="D11" s="48">
        <f t="shared" si="0"/>
        <v>4000000</v>
      </c>
      <c r="E11" s="48">
        <f t="shared" si="1"/>
        <v>10000</v>
      </c>
      <c r="F11" s="48">
        <v>4700000</v>
      </c>
      <c r="G11" s="48">
        <f t="shared" si="2"/>
        <v>700000</v>
      </c>
    </row>
    <row r="12" spans="1:7">
      <c r="A12" s="47" t="s">
        <v>188</v>
      </c>
      <c r="B12" s="48">
        <v>25500</v>
      </c>
      <c r="C12" s="48">
        <v>50</v>
      </c>
      <c r="D12" s="48">
        <f t="shared" si="0"/>
        <v>1275000</v>
      </c>
      <c r="E12" s="48">
        <f t="shared" si="1"/>
        <v>3187.5</v>
      </c>
      <c r="F12" s="48">
        <v>1350000</v>
      </c>
      <c r="G12" s="48">
        <f t="shared" si="2"/>
        <v>75000</v>
      </c>
    </row>
    <row r="13" spans="1:7">
      <c r="A13" s="47" t="s">
        <v>189</v>
      </c>
      <c r="B13" s="48">
        <v>7200</v>
      </c>
      <c r="C13" s="48">
        <v>20</v>
      </c>
      <c r="D13" s="48">
        <f t="shared" si="0"/>
        <v>144000</v>
      </c>
      <c r="E13" s="48">
        <f t="shared" si="1"/>
        <v>360</v>
      </c>
      <c r="F13" s="48">
        <v>126000</v>
      </c>
      <c r="G13" s="48">
        <f t="shared" si="2"/>
        <v>-18000</v>
      </c>
    </row>
    <row r="14" spans="1:7">
      <c r="A14" s="49" t="s">
        <v>190</v>
      </c>
      <c r="B14" s="50">
        <v>17500</v>
      </c>
      <c r="C14" s="50">
        <v>45</v>
      </c>
      <c r="D14" s="50">
        <f t="shared" si="0"/>
        <v>787500</v>
      </c>
      <c r="E14" s="50">
        <f t="shared" si="1"/>
        <v>1968.75</v>
      </c>
      <c r="F14" s="50">
        <v>780000</v>
      </c>
      <c r="G14" s="50">
        <f t="shared" si="2"/>
        <v>-7500</v>
      </c>
    </row>
    <row r="15" spans="1:7">
      <c r="A15" s="49" t="s">
        <v>191</v>
      </c>
      <c r="B15" s="50">
        <v>106000</v>
      </c>
      <c r="C15" s="50">
        <v>34</v>
      </c>
      <c r="D15" s="50">
        <f t="shared" si="0"/>
        <v>3604000</v>
      </c>
      <c r="E15" s="50">
        <f t="shared" si="1"/>
        <v>9010</v>
      </c>
      <c r="F15" s="50">
        <v>3700000</v>
      </c>
      <c r="G15" s="50">
        <f t="shared" si="2"/>
        <v>96000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selection sqref="A1:G1"/>
    </sheetView>
  </sheetViews>
  <sheetFormatPr defaultRowHeight="16.5"/>
  <cols>
    <col min="1" max="1" width="11" bestFit="1" customWidth="1"/>
    <col min="2" max="3" width="9" customWidth="1"/>
    <col min="4" max="4" width="11.875" bestFit="1" customWidth="1"/>
    <col min="5" max="5" width="11.875" customWidth="1"/>
    <col min="6" max="6" width="10.875" bestFit="1" customWidth="1"/>
    <col min="7" max="7" width="11.875" bestFit="1" customWidth="1"/>
  </cols>
  <sheetData>
    <row r="1" spans="1:7" ht="20.25">
      <c r="A1" s="65" t="s">
        <v>204</v>
      </c>
      <c r="B1" s="65"/>
      <c r="C1" s="65"/>
      <c r="D1" s="65"/>
      <c r="E1" s="65"/>
      <c r="F1" s="65"/>
      <c r="G1" s="65"/>
    </row>
    <row r="2" spans="1:7" ht="16.5" customHeight="1">
      <c r="A2" s="51"/>
      <c r="B2" s="51"/>
      <c r="C2" s="51"/>
      <c r="D2" s="51"/>
      <c r="E2" s="51"/>
      <c r="F2" s="51"/>
      <c r="G2" s="51"/>
    </row>
    <row r="3" spans="1:7">
      <c r="A3" s="10" t="s">
        <v>195</v>
      </c>
      <c r="B3" s="10" t="s">
        <v>203</v>
      </c>
      <c r="C3" s="10" t="s">
        <v>192</v>
      </c>
      <c r="D3" s="10" t="s">
        <v>193</v>
      </c>
      <c r="E3" s="10" t="s">
        <v>205</v>
      </c>
      <c r="F3" s="10" t="s">
        <v>201</v>
      </c>
      <c r="G3" s="10" t="s">
        <v>194</v>
      </c>
    </row>
    <row r="4" spans="1:7">
      <c r="A4" s="10" t="s">
        <v>196</v>
      </c>
      <c r="B4" s="52">
        <v>1245</v>
      </c>
      <c r="C4" s="52">
        <v>11000</v>
      </c>
      <c r="D4" s="52">
        <f>B4*C4</f>
        <v>13695000</v>
      </c>
      <c r="E4" s="52">
        <f>ROUND(B4*C4*5%,-3)</f>
        <v>685000</v>
      </c>
      <c r="F4" s="52">
        <f>ROUND(D4*16%,-3)</f>
        <v>2191000</v>
      </c>
      <c r="G4" s="52">
        <f>D4-E4-F4</f>
        <v>10819000</v>
      </c>
    </row>
    <row r="5" spans="1:7">
      <c r="A5" s="10" t="s">
        <v>197</v>
      </c>
      <c r="B5" s="52">
        <v>1526</v>
      </c>
      <c r="C5" s="52">
        <v>8000</v>
      </c>
      <c r="D5" s="52">
        <f t="shared" ref="D5:D9" si="0">B5*C5</f>
        <v>12208000</v>
      </c>
      <c r="E5" s="52">
        <f t="shared" ref="E5:E9" si="1">ROUND(B5*C5*5%,-3)</f>
        <v>610000</v>
      </c>
      <c r="F5" s="52">
        <f t="shared" ref="F5:F9" si="2">ROUND(D5*16%,-3)</f>
        <v>1953000</v>
      </c>
      <c r="G5" s="52">
        <f t="shared" ref="G5:G9" si="3">D5-E5-F5</f>
        <v>9645000</v>
      </c>
    </row>
    <row r="6" spans="1:7">
      <c r="A6" s="10" t="s">
        <v>198</v>
      </c>
      <c r="B6" s="52">
        <v>1023</v>
      </c>
      <c r="C6" s="52">
        <v>10000</v>
      </c>
      <c r="D6" s="52">
        <f t="shared" si="0"/>
        <v>10230000</v>
      </c>
      <c r="E6" s="52">
        <f t="shared" si="1"/>
        <v>512000</v>
      </c>
      <c r="F6" s="52">
        <f t="shared" si="2"/>
        <v>1637000</v>
      </c>
      <c r="G6" s="52">
        <f t="shared" si="3"/>
        <v>8081000</v>
      </c>
    </row>
    <row r="7" spans="1:7">
      <c r="A7" s="10" t="s">
        <v>199</v>
      </c>
      <c r="B7" s="52">
        <v>1485</v>
      </c>
      <c r="C7" s="52">
        <v>15000</v>
      </c>
      <c r="D7" s="52">
        <f t="shared" si="0"/>
        <v>22275000</v>
      </c>
      <c r="E7" s="52">
        <f t="shared" si="1"/>
        <v>1114000</v>
      </c>
      <c r="F7" s="52">
        <f t="shared" si="2"/>
        <v>3564000</v>
      </c>
      <c r="G7" s="52">
        <f t="shared" si="3"/>
        <v>17597000</v>
      </c>
    </row>
    <row r="8" spans="1:7">
      <c r="A8" s="9" t="s">
        <v>200</v>
      </c>
      <c r="B8" s="53">
        <v>785</v>
      </c>
      <c r="C8" s="53">
        <v>20000</v>
      </c>
      <c r="D8" s="52">
        <f t="shared" si="0"/>
        <v>15700000</v>
      </c>
      <c r="E8" s="52">
        <f t="shared" si="1"/>
        <v>785000</v>
      </c>
      <c r="F8" s="52">
        <f t="shared" si="2"/>
        <v>2512000</v>
      </c>
      <c r="G8" s="52">
        <f t="shared" si="3"/>
        <v>12403000</v>
      </c>
    </row>
    <row r="9" spans="1:7">
      <c r="A9" s="17" t="s">
        <v>202</v>
      </c>
      <c r="B9" s="53">
        <v>627</v>
      </c>
      <c r="C9" s="53">
        <v>24000</v>
      </c>
      <c r="D9" s="52">
        <f t="shared" si="0"/>
        <v>15048000</v>
      </c>
      <c r="E9" s="52">
        <f t="shared" si="1"/>
        <v>752000</v>
      </c>
      <c r="F9" s="52">
        <f t="shared" si="2"/>
        <v>2408000</v>
      </c>
      <c r="G9" s="52">
        <f t="shared" si="3"/>
        <v>11888000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쫑</dc:creator>
  <cp:lastModifiedBy>ck</cp:lastModifiedBy>
  <dcterms:created xsi:type="dcterms:W3CDTF">2013-03-06T07:37:24Z</dcterms:created>
  <dcterms:modified xsi:type="dcterms:W3CDTF">2013-12-28T05:11:48Z</dcterms:modified>
</cp:coreProperties>
</file>