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360" yWindow="210" windowWidth="15075" windowHeight="12000"/>
  </bookViews>
  <sheets>
    <sheet name="기본작업-1" sheetId="1" r:id="rId1"/>
    <sheet name="기본작업-2" sheetId="2" r:id="rId2"/>
    <sheet name="기본작업-3" sheetId="10" r:id="rId3"/>
    <sheet name="계산작업" sheetId="4" r:id="rId4"/>
    <sheet name="시나리오 요약" sheetId="11" r:id="rId5"/>
    <sheet name="분석작업-1" sheetId="5" r:id="rId6"/>
    <sheet name="분석작업-2" sheetId="6" r:id="rId7"/>
    <sheet name="매크로작업" sheetId="7" r:id="rId8"/>
    <sheet name="차트작업" sheetId="8" r:id="rId9"/>
  </sheets>
  <definedNames>
    <definedName name="문구명">'기본작업-2'!$B$5:$B$13</definedName>
    <definedName name="통신요금평균">'분석작업-1'!$G$17</definedName>
    <definedName name="할인율">'분석작업-1'!$B$19</definedName>
  </definedNames>
  <calcPr calcId="145621"/>
</workbook>
</file>

<file path=xl/calcChain.xml><?xml version="1.0" encoding="utf-8"?>
<calcChain xmlns="http://schemas.openxmlformats.org/spreadsheetml/2006/main">
  <c r="E16" i="4"/>
  <c r="E17"/>
  <c r="E18"/>
  <c r="E19"/>
  <c r="E20"/>
  <c r="E21"/>
  <c r="E22"/>
  <c r="E23"/>
  <c r="E24"/>
  <c r="E25"/>
  <c r="E26"/>
  <c r="E27"/>
  <c r="E28"/>
  <c r="E29"/>
  <c r="E15"/>
  <c r="F4" i="7" l="1"/>
  <c r="F5"/>
  <c r="F6"/>
  <c r="F7"/>
  <c r="F8"/>
  <c r="F9"/>
  <c r="F10"/>
  <c r="F11"/>
  <c r="F3"/>
  <c r="E34" i="4" l="1"/>
  <c r="E35"/>
  <c r="E36"/>
  <c r="E37"/>
  <c r="E38"/>
  <c r="E39"/>
  <c r="E40"/>
  <c r="E41"/>
  <c r="E42"/>
  <c r="E33"/>
  <c r="K16"/>
  <c r="K17"/>
  <c r="K18"/>
  <c r="K19"/>
  <c r="K20"/>
  <c r="K21"/>
  <c r="K22"/>
  <c r="K23"/>
  <c r="K24"/>
  <c r="K15"/>
  <c r="L4"/>
  <c r="L5"/>
  <c r="L6"/>
  <c r="L7"/>
  <c r="L8"/>
  <c r="L9"/>
  <c r="L10"/>
  <c r="L11"/>
  <c r="L3"/>
  <c r="E4"/>
  <c r="E5"/>
  <c r="E6"/>
  <c r="E7"/>
  <c r="E8"/>
  <c r="E9"/>
  <c r="E10"/>
  <c r="E11"/>
  <c r="E3"/>
  <c r="F4" i="8"/>
  <c r="F5"/>
  <c r="F6"/>
  <c r="F7"/>
  <c r="F8"/>
  <c r="F3"/>
  <c r="F28" i="6" l="1"/>
  <c r="F29"/>
  <c r="F30"/>
  <c r="F31"/>
  <c r="F32"/>
  <c r="F33"/>
  <c r="F34"/>
  <c r="F35"/>
  <c r="F27"/>
  <c r="F16"/>
  <c r="F17"/>
  <c r="F18"/>
  <c r="F19"/>
  <c r="F20"/>
  <c r="F21"/>
  <c r="F22"/>
  <c r="G22" s="1"/>
  <c r="H22" s="1"/>
  <c r="F23"/>
  <c r="F15"/>
  <c r="G15" s="1"/>
  <c r="H15" s="1"/>
  <c r="G35"/>
  <c r="H35" s="1"/>
  <c r="G34"/>
  <c r="H34" s="1"/>
  <c r="G33"/>
  <c r="H33" s="1"/>
  <c r="G32"/>
  <c r="H32" s="1"/>
  <c r="G31"/>
  <c r="H31" s="1"/>
  <c r="G30"/>
  <c r="H30" s="1"/>
  <c r="G29"/>
  <c r="H29" s="1"/>
  <c r="G28"/>
  <c r="H28" s="1"/>
  <c r="G27"/>
  <c r="H27" s="1"/>
  <c r="G23"/>
  <c r="H23" s="1"/>
  <c r="G21"/>
  <c r="H21" s="1"/>
  <c r="G20"/>
  <c r="H20" s="1"/>
  <c r="G19"/>
  <c r="H19" s="1"/>
  <c r="G17"/>
  <c r="H17" s="1"/>
  <c r="G16"/>
  <c r="H16" s="1"/>
  <c r="F4"/>
  <c r="G4" s="1"/>
  <c r="H4" s="1"/>
  <c r="F5"/>
  <c r="F6"/>
  <c r="F7"/>
  <c r="G7" s="1"/>
  <c r="H7" s="1"/>
  <c r="F8"/>
  <c r="G8" s="1"/>
  <c r="H8" s="1"/>
  <c r="F9"/>
  <c r="F10"/>
  <c r="F11"/>
  <c r="G11" s="1"/>
  <c r="H11" s="1"/>
  <c r="F3"/>
  <c r="G3" s="1"/>
  <c r="H3" s="1"/>
  <c r="G6" l="1"/>
  <c r="H6" s="1"/>
  <c r="G9"/>
  <c r="H9" s="1"/>
  <c r="G18"/>
  <c r="H18" s="1"/>
  <c r="G10"/>
  <c r="H10" s="1"/>
  <c r="G5"/>
  <c r="H5" s="1"/>
  <c r="D17" i="5" l="1"/>
  <c r="E17"/>
  <c r="C17"/>
  <c r="F5"/>
  <c r="G5" s="1"/>
  <c r="F6"/>
  <c r="G6" s="1"/>
  <c r="F7"/>
  <c r="G7" s="1"/>
  <c r="F8"/>
  <c r="G8" s="1"/>
  <c r="F9"/>
  <c r="G9" s="1"/>
  <c r="F10"/>
  <c r="G10" s="1"/>
  <c r="F11"/>
  <c r="G11" s="1"/>
  <c r="F12"/>
  <c r="G12" s="1"/>
  <c r="F13"/>
  <c r="G13" s="1"/>
  <c r="F14"/>
  <c r="G14" s="1"/>
  <c r="F15"/>
  <c r="G15" s="1"/>
  <c r="F16"/>
  <c r="G16" s="1"/>
  <c r="F4"/>
  <c r="G4" s="1"/>
  <c r="F17" l="1"/>
  <c r="G17" s="1"/>
  <c r="G6" i="2" l="1"/>
  <c r="H6" s="1"/>
  <c r="G7"/>
  <c r="H7" s="1"/>
  <c r="G8"/>
  <c r="H8" s="1"/>
  <c r="G9"/>
  <c r="H9" s="1"/>
  <c r="G10"/>
  <c r="H10" s="1"/>
  <c r="G11"/>
  <c r="H11" s="1"/>
  <c r="G12"/>
  <c r="H12" s="1"/>
  <c r="G13"/>
  <c r="H13" s="1"/>
  <c r="G5"/>
  <c r="H5" s="1"/>
</calcChain>
</file>

<file path=xl/sharedStrings.xml><?xml version="1.0" encoding="utf-8"?>
<sst xmlns="http://schemas.openxmlformats.org/spreadsheetml/2006/main" count="466" uniqueCount="315">
  <si>
    <t>자동차 보험 가입 현황</t>
  </si>
  <si>
    <t>2013년 3월</t>
    <phoneticPr fontId="3" type="noConversion"/>
  </si>
  <si>
    <t>월별</t>
    <phoneticPr fontId="1" type="noConversion"/>
  </si>
  <si>
    <t>문구명</t>
    <phoneticPr fontId="1" type="noConversion"/>
  </si>
  <si>
    <t>1월</t>
    <phoneticPr fontId="1" type="noConversion"/>
  </si>
  <si>
    <t>2월</t>
    <phoneticPr fontId="1" type="noConversion"/>
  </si>
  <si>
    <t>3월</t>
    <phoneticPr fontId="1" type="noConversion"/>
  </si>
  <si>
    <t>매입량</t>
    <phoneticPr fontId="1" type="noConversion"/>
  </si>
  <si>
    <t>판매가</t>
    <phoneticPr fontId="1" type="noConversion"/>
  </si>
  <si>
    <t>판매량</t>
    <phoneticPr fontId="1" type="noConversion"/>
  </si>
  <si>
    <t>할인액</t>
    <phoneticPr fontId="1" type="noConversion"/>
  </si>
  <si>
    <t>총판매액</t>
    <phoneticPr fontId="1" type="noConversion"/>
  </si>
  <si>
    <t>서류철</t>
    <phoneticPr fontId="1" type="noConversion"/>
  </si>
  <si>
    <t>볼펜</t>
    <phoneticPr fontId="1" type="noConversion"/>
  </si>
  <si>
    <t>사무용품 판매 현황</t>
    <phoneticPr fontId="1" type="noConversion"/>
  </si>
  <si>
    <t>공장출고가</t>
    <phoneticPr fontId="1" type="noConversion"/>
  </si>
  <si>
    <t>단위 : BOX</t>
    <phoneticPr fontId="1" type="noConversion"/>
  </si>
  <si>
    <t>A4용지</t>
    <phoneticPr fontId="1" type="noConversion"/>
  </si>
  <si>
    <t>[표1]</t>
    <phoneticPr fontId="1" type="noConversion"/>
  </si>
  <si>
    <t>급여지급현황</t>
  </si>
  <si>
    <t>이백원</t>
    <phoneticPr fontId="1" type="noConversion"/>
  </si>
  <si>
    <t>한판만</t>
    <phoneticPr fontId="1" type="noConversion"/>
  </si>
  <si>
    <t>유명해</t>
    <phoneticPr fontId="1" type="noConversion"/>
  </si>
  <si>
    <t>전용택</t>
    <phoneticPr fontId="1" type="noConversion"/>
  </si>
  <si>
    <t>이대로</t>
    <phoneticPr fontId="1" type="noConversion"/>
  </si>
  <si>
    <t>방심해</t>
    <phoneticPr fontId="1" type="noConversion"/>
  </si>
  <si>
    <t>신나라</t>
    <phoneticPr fontId="1" type="noConversion"/>
  </si>
  <si>
    <t>정고운</t>
    <phoneticPr fontId="1" type="noConversion"/>
  </si>
  <si>
    <t>김성명</t>
    <phoneticPr fontId="1" type="noConversion"/>
  </si>
  <si>
    <t>DVD연체현황</t>
    <phoneticPr fontId="1" type="noConversion"/>
  </si>
  <si>
    <t>반납예정일</t>
    <phoneticPr fontId="1" type="noConversion"/>
  </si>
  <si>
    <t>반납일</t>
    <phoneticPr fontId="1" type="noConversion"/>
  </si>
  <si>
    <t>연체료</t>
    <phoneticPr fontId="1" type="noConversion"/>
  </si>
  <si>
    <t>고객코드</t>
    <phoneticPr fontId="1" type="noConversion"/>
  </si>
  <si>
    <t>kji21</t>
    <phoneticPr fontId="1" type="noConversion"/>
  </si>
  <si>
    <t>cmk01</t>
    <phoneticPr fontId="1" type="noConversion"/>
  </si>
  <si>
    <t>kys23</t>
    <phoneticPr fontId="1" type="noConversion"/>
  </si>
  <si>
    <t>lsh17</t>
    <phoneticPr fontId="1" type="noConversion"/>
  </si>
  <si>
    <t>ksw25</t>
    <phoneticPr fontId="1" type="noConversion"/>
  </si>
  <si>
    <t>wjj05</t>
    <phoneticPr fontId="1" type="noConversion"/>
  </si>
  <si>
    <t>lgy30</t>
    <phoneticPr fontId="1" type="noConversion"/>
  </si>
  <si>
    <t>jal08</t>
    <phoneticPr fontId="1" type="noConversion"/>
  </si>
  <si>
    <t>cdw22</t>
    <phoneticPr fontId="1" type="noConversion"/>
  </si>
  <si>
    <t>대여일</t>
    <phoneticPr fontId="1" type="noConversion"/>
  </si>
  <si>
    <t>[표2]</t>
    <phoneticPr fontId="1" type="noConversion"/>
  </si>
  <si>
    <t>결과</t>
    <phoneticPr fontId="1" type="noConversion"/>
  </si>
  <si>
    <t>필기</t>
    <phoneticPr fontId="1" type="noConversion"/>
  </si>
  <si>
    <t>실기</t>
    <phoneticPr fontId="1" type="noConversion"/>
  </si>
  <si>
    <t>면접</t>
    <phoneticPr fontId="1" type="noConversion"/>
  </si>
  <si>
    <t>진급심사결과</t>
    <phoneticPr fontId="1" type="noConversion"/>
  </si>
  <si>
    <t>사원</t>
    <phoneticPr fontId="1" type="noConversion"/>
  </si>
  <si>
    <t>대리</t>
    <phoneticPr fontId="1" type="noConversion"/>
  </si>
  <si>
    <t>과장</t>
    <phoneticPr fontId="1" type="noConversion"/>
  </si>
  <si>
    <t>대리</t>
    <phoneticPr fontId="1" type="noConversion"/>
  </si>
  <si>
    <t>사원</t>
    <phoneticPr fontId="1" type="noConversion"/>
  </si>
  <si>
    <t>과장</t>
    <phoneticPr fontId="1" type="noConversion"/>
  </si>
  <si>
    <t>[표3]</t>
    <phoneticPr fontId="1" type="noConversion"/>
  </si>
  <si>
    <t>성명</t>
    <phoneticPr fontId="1" type="noConversion"/>
  </si>
  <si>
    <t>강백호</t>
    <phoneticPr fontId="1" type="noConversion"/>
  </si>
  <si>
    <t>김박사</t>
    <phoneticPr fontId="1" type="noConversion"/>
  </si>
  <si>
    <t>임금진</t>
    <phoneticPr fontId="1" type="noConversion"/>
  </si>
  <si>
    <t>한국남</t>
    <phoneticPr fontId="1" type="noConversion"/>
  </si>
  <si>
    <t>현상범</t>
    <phoneticPr fontId="1" type="noConversion"/>
  </si>
  <si>
    <t>장애우</t>
    <phoneticPr fontId="1" type="noConversion"/>
  </si>
  <si>
    <t>금태우</t>
    <phoneticPr fontId="1" type="noConversion"/>
  </si>
  <si>
    <t>박대중</t>
    <phoneticPr fontId="1" type="noConversion"/>
  </si>
  <si>
    <t>김상염</t>
    <phoneticPr fontId="1" type="noConversion"/>
  </si>
  <si>
    <t>전환수</t>
    <phoneticPr fontId="1" type="noConversion"/>
  </si>
  <si>
    <t>기본급</t>
    <phoneticPr fontId="1" type="noConversion"/>
  </si>
  <si>
    <t>부장</t>
    <phoneticPr fontId="1" type="noConversion"/>
  </si>
  <si>
    <t>부서</t>
    <phoneticPr fontId="1" type="noConversion"/>
  </si>
  <si>
    <t>가족수당</t>
    <phoneticPr fontId="1" type="noConversion"/>
  </si>
  <si>
    <t>생산부</t>
    <phoneticPr fontId="1" type="noConversion"/>
  </si>
  <si>
    <t>경리부</t>
    <phoneticPr fontId="1" type="noConversion"/>
  </si>
  <si>
    <t>자재부</t>
    <phoneticPr fontId="1" type="noConversion"/>
  </si>
  <si>
    <t>기획부</t>
    <phoneticPr fontId="1" type="noConversion"/>
  </si>
  <si>
    <t>[표4]</t>
    <phoneticPr fontId="1" type="noConversion"/>
  </si>
  <si>
    <t>사원명</t>
    <phoneticPr fontId="1" type="noConversion"/>
  </si>
  <si>
    <t>수령액</t>
    <phoneticPr fontId="1" type="noConversion"/>
  </si>
  <si>
    <t>[표5]</t>
    <phoneticPr fontId="1" type="noConversion"/>
  </si>
  <si>
    <t>전세권</t>
    <phoneticPr fontId="1" type="noConversion"/>
  </si>
  <si>
    <t>노숙자</t>
    <phoneticPr fontId="1" type="noConversion"/>
  </si>
  <si>
    <t>하나로</t>
    <phoneticPr fontId="1" type="noConversion"/>
  </si>
  <si>
    <t>육해공</t>
    <phoneticPr fontId="1" type="noConversion"/>
  </si>
  <si>
    <t>정인간</t>
    <phoneticPr fontId="1" type="noConversion"/>
  </si>
  <si>
    <t>방귀남</t>
    <phoneticPr fontId="1" type="noConversion"/>
  </si>
  <si>
    <t>이재휘</t>
    <phoneticPr fontId="1" type="noConversion"/>
  </si>
  <si>
    <t>성별</t>
    <phoneticPr fontId="1" type="noConversion"/>
  </si>
  <si>
    <t>남</t>
    <phoneticPr fontId="1" type="noConversion"/>
  </si>
  <si>
    <t>여</t>
    <phoneticPr fontId="1" type="noConversion"/>
  </si>
  <si>
    <t>구주희</t>
    <phoneticPr fontId="1" type="noConversion"/>
  </si>
  <si>
    <t>유희지</t>
    <phoneticPr fontId="1" type="noConversion"/>
  </si>
  <si>
    <t>한산의</t>
    <phoneticPr fontId="1" type="noConversion"/>
  </si>
  <si>
    <t>진급여부</t>
    <phoneticPr fontId="1" type="noConversion"/>
  </si>
  <si>
    <t>교내 미술경시대회</t>
    <phoneticPr fontId="1" type="noConversion"/>
  </si>
  <si>
    <t>학년</t>
    <phoneticPr fontId="1" type="noConversion"/>
  </si>
  <si>
    <t>점수</t>
    <phoneticPr fontId="1" type="noConversion"/>
  </si>
  <si>
    <t>제품명</t>
    <phoneticPr fontId="1" type="noConversion"/>
  </si>
  <si>
    <t>갤록시 노트</t>
    <phoneticPr fontId="1" type="noConversion"/>
  </si>
  <si>
    <t>갤록시 팝</t>
    <phoneticPr fontId="1" type="noConversion"/>
  </si>
  <si>
    <t>스마트폰 판매 현황</t>
    <phoneticPr fontId="1" type="noConversion"/>
  </si>
  <si>
    <t>베거레이사</t>
    <phoneticPr fontId="1" type="noConversion"/>
  </si>
  <si>
    <t>갤록시 탭</t>
    <phoneticPr fontId="1" type="noConversion"/>
  </si>
  <si>
    <t>베거아이롱</t>
    <phoneticPr fontId="1" type="noConversion"/>
  </si>
  <si>
    <t>옵티머수 프로</t>
    <phoneticPr fontId="1" type="noConversion"/>
  </si>
  <si>
    <t>갤록시 S4</t>
    <phoneticPr fontId="1" type="noConversion"/>
  </si>
  <si>
    <t>어이폰 4S</t>
    <phoneticPr fontId="1" type="noConversion"/>
  </si>
  <si>
    <t>어이폰 5</t>
    <phoneticPr fontId="1" type="noConversion"/>
  </si>
  <si>
    <t>갤록시 S3</t>
    <phoneticPr fontId="1" type="noConversion"/>
  </si>
  <si>
    <t>모토레이자</t>
    <phoneticPr fontId="1" type="noConversion"/>
  </si>
  <si>
    <t>모토아트릭사</t>
    <phoneticPr fontId="1" type="noConversion"/>
  </si>
  <si>
    <t>누키아루미라</t>
    <phoneticPr fontId="1" type="noConversion"/>
  </si>
  <si>
    <t>할인율</t>
    <phoneticPr fontId="1" type="noConversion"/>
  </si>
  <si>
    <t>통신요금</t>
    <phoneticPr fontId="1" type="noConversion"/>
  </si>
  <si>
    <t>제조사</t>
    <phoneticPr fontId="1" type="noConversion"/>
  </si>
  <si>
    <t>삼송텔레콤</t>
    <phoneticPr fontId="1" type="noConversion"/>
  </si>
  <si>
    <t>팬틱전자</t>
    <phoneticPr fontId="1" type="noConversion"/>
  </si>
  <si>
    <t>파인애플</t>
    <phoneticPr fontId="1" type="noConversion"/>
  </si>
  <si>
    <t>모토전자</t>
    <phoneticPr fontId="1" type="noConversion"/>
  </si>
  <si>
    <t>누키아전자</t>
    <phoneticPr fontId="1" type="noConversion"/>
  </si>
  <si>
    <t>세금</t>
    <phoneticPr fontId="1" type="noConversion"/>
  </si>
  <si>
    <t>기본료</t>
    <phoneticPr fontId="1" type="noConversion"/>
  </si>
  <si>
    <t>단말기할부금</t>
    <phoneticPr fontId="1" type="noConversion"/>
  </si>
  <si>
    <t>부가서비스</t>
    <phoneticPr fontId="1" type="noConversion"/>
  </si>
  <si>
    <t>평균</t>
    <phoneticPr fontId="1" type="noConversion"/>
  </si>
  <si>
    <t>LD텔레콤</t>
    <phoneticPr fontId="1" type="noConversion"/>
  </si>
  <si>
    <t>나잘난</t>
    <phoneticPr fontId="1" type="noConversion"/>
  </si>
  <si>
    <t>[표1] 1월 급여 지급 현황</t>
    <phoneticPr fontId="1" type="noConversion"/>
  </si>
  <si>
    <t>[표2] 2월 급여 지급 현황</t>
    <phoneticPr fontId="1" type="noConversion"/>
  </si>
  <si>
    <t>[표3] 3월 급여 지급 현황</t>
    <phoneticPr fontId="1" type="noConversion"/>
  </si>
  <si>
    <t>1/4분기 급여 지급 현황</t>
    <phoneticPr fontId="1" type="noConversion"/>
  </si>
  <si>
    <t>사원명</t>
    <phoneticPr fontId="1" type="noConversion"/>
  </si>
  <si>
    <t>직위</t>
    <phoneticPr fontId="1" type="noConversion"/>
  </si>
  <si>
    <t>직위</t>
    <phoneticPr fontId="1" type="noConversion"/>
  </si>
  <si>
    <t>[직위표]</t>
    <phoneticPr fontId="1" type="noConversion"/>
  </si>
  <si>
    <t>직위수당</t>
    <phoneticPr fontId="1" type="noConversion"/>
  </si>
  <si>
    <t>반수인</t>
    <phoneticPr fontId="1" type="noConversion"/>
  </si>
  <si>
    <t>라명오</t>
    <phoneticPr fontId="1" type="noConversion"/>
  </si>
  <si>
    <t>고장훈</t>
    <phoneticPr fontId="1" type="noConversion"/>
  </si>
  <si>
    <t>안수국</t>
    <phoneticPr fontId="1" type="noConversion"/>
  </si>
  <si>
    <t>탁길태</t>
    <phoneticPr fontId="1" type="noConversion"/>
  </si>
  <si>
    <t>김태은</t>
    <phoneticPr fontId="1" type="noConversion"/>
  </si>
  <si>
    <t>가미근</t>
    <phoneticPr fontId="1" type="noConversion"/>
  </si>
  <si>
    <t>수당</t>
    <phoneticPr fontId="1" type="noConversion"/>
  </si>
  <si>
    <t>상여금</t>
    <phoneticPr fontId="1" type="noConversion"/>
  </si>
  <si>
    <t>세금</t>
    <phoneticPr fontId="1" type="noConversion"/>
  </si>
  <si>
    <t>영업부</t>
    <phoneticPr fontId="1" type="noConversion"/>
  </si>
  <si>
    <t>개발부</t>
    <phoneticPr fontId="1" type="noConversion"/>
  </si>
  <si>
    <t>생산부</t>
    <phoneticPr fontId="1" type="noConversion"/>
  </si>
  <si>
    <t>최미경</t>
    <phoneticPr fontId="1" type="noConversion"/>
  </si>
  <si>
    <t>과장</t>
    <phoneticPr fontId="1" type="noConversion"/>
  </si>
  <si>
    <t>대리</t>
    <phoneticPr fontId="1" type="noConversion"/>
  </si>
  <si>
    <t>사원</t>
    <phoneticPr fontId="1" type="noConversion"/>
  </si>
  <si>
    <t>실수령액</t>
    <phoneticPr fontId="1" type="noConversion"/>
  </si>
  <si>
    <t>볼란테</t>
    <phoneticPr fontId="1" type="noConversion"/>
  </si>
  <si>
    <t>발로차</t>
    <phoneticPr fontId="1" type="noConversion"/>
  </si>
  <si>
    <t>유니샤크</t>
    <phoneticPr fontId="1" type="noConversion"/>
  </si>
  <si>
    <t>레볼루션</t>
    <phoneticPr fontId="1" type="noConversion"/>
  </si>
  <si>
    <t>레전드FC</t>
    <phoneticPr fontId="1" type="noConversion"/>
  </si>
  <si>
    <t>슛돌FC</t>
    <phoneticPr fontId="1" type="noConversion"/>
  </si>
  <si>
    <t>핫슛</t>
    <phoneticPr fontId="1" type="noConversion"/>
  </si>
  <si>
    <t>비바FC</t>
    <phoneticPr fontId="1" type="noConversion"/>
  </si>
  <si>
    <t>피닉스</t>
    <phoneticPr fontId="1" type="noConversion"/>
  </si>
  <si>
    <t>안산</t>
    <phoneticPr fontId="1" type="noConversion"/>
  </si>
  <si>
    <t>시흥</t>
    <phoneticPr fontId="1" type="noConversion"/>
  </si>
  <si>
    <t>안양</t>
    <phoneticPr fontId="1" type="noConversion"/>
  </si>
  <si>
    <t>수원</t>
    <phoneticPr fontId="1" type="noConversion"/>
  </si>
  <si>
    <t>금정</t>
    <phoneticPr fontId="1" type="noConversion"/>
  </si>
  <si>
    <t>오산</t>
    <phoneticPr fontId="1" type="noConversion"/>
  </si>
  <si>
    <t>광명</t>
    <phoneticPr fontId="1" type="noConversion"/>
  </si>
  <si>
    <t>화성</t>
    <phoneticPr fontId="1" type="noConversion"/>
  </si>
  <si>
    <t>군포</t>
    <phoneticPr fontId="1" type="noConversion"/>
  </si>
  <si>
    <t>KS(경기서부) 리그 경기결과</t>
    <phoneticPr fontId="1" type="noConversion"/>
  </si>
  <si>
    <t>어린이완구 매출현황</t>
    <phoneticPr fontId="1" type="noConversion"/>
  </si>
  <si>
    <t>완구명</t>
    <phoneticPr fontId="1" type="noConversion"/>
  </si>
  <si>
    <t>제조사</t>
    <phoneticPr fontId="1" type="noConversion"/>
  </si>
  <si>
    <t>판매수량</t>
    <phoneticPr fontId="1" type="noConversion"/>
  </si>
  <si>
    <t>판매단가</t>
    <phoneticPr fontId="1" type="noConversion"/>
  </si>
  <si>
    <t>총판매액</t>
    <phoneticPr fontId="1" type="noConversion"/>
  </si>
  <si>
    <t>토이랜드</t>
    <phoneticPr fontId="1" type="noConversion"/>
  </si>
  <si>
    <t>키즈토이</t>
    <phoneticPr fontId="1" type="noConversion"/>
  </si>
  <si>
    <t>뽕뽕키즈</t>
    <phoneticPr fontId="1" type="noConversion"/>
  </si>
  <si>
    <t>세계완구</t>
    <phoneticPr fontId="1" type="noConversion"/>
  </si>
  <si>
    <t>완구랜드</t>
    <phoneticPr fontId="1" type="noConversion"/>
  </si>
  <si>
    <t>왕자공주</t>
    <phoneticPr fontId="1" type="noConversion"/>
  </si>
  <si>
    <t>대상연령</t>
    <phoneticPr fontId="1" type="noConversion"/>
  </si>
  <si>
    <t>36개월~8세</t>
    <phoneticPr fontId="1" type="noConversion"/>
  </si>
  <si>
    <t>12개월~4세</t>
    <phoneticPr fontId="1" type="noConversion"/>
  </si>
  <si>
    <t>36개월~6세</t>
    <phoneticPr fontId="1" type="noConversion"/>
  </si>
  <si>
    <t>24개월~5세</t>
    <phoneticPr fontId="1" type="noConversion"/>
  </si>
  <si>
    <t>킥보드</t>
    <phoneticPr fontId="1" type="noConversion"/>
  </si>
  <si>
    <t>5세~8세</t>
    <phoneticPr fontId="1" type="noConversion"/>
  </si>
  <si>
    <t>블럭세트</t>
    <phoneticPr fontId="1" type="noConversion"/>
  </si>
  <si>
    <t>24개월~4세</t>
    <phoneticPr fontId="1" type="noConversion"/>
  </si>
  <si>
    <t>전동차</t>
    <phoneticPr fontId="1" type="noConversion"/>
  </si>
  <si>
    <t>교통놀이</t>
    <phoneticPr fontId="1" type="noConversion"/>
  </si>
  <si>
    <t>실내그네</t>
    <phoneticPr fontId="1" type="noConversion"/>
  </si>
  <si>
    <t>자전거</t>
    <phoneticPr fontId="1" type="noConversion"/>
  </si>
  <si>
    <t>차량번호</t>
    <phoneticPr fontId="3" type="noConversion"/>
  </si>
  <si>
    <t>자동차명</t>
    <phoneticPr fontId="3" type="noConversion"/>
  </si>
  <si>
    <t>피보험자</t>
    <phoneticPr fontId="3" type="noConversion"/>
  </si>
  <si>
    <t>보험특약</t>
    <phoneticPr fontId="3" type="noConversion"/>
  </si>
  <si>
    <t>연락처</t>
    <phoneticPr fontId="3" type="noConversion"/>
  </si>
  <si>
    <t>보험료</t>
    <phoneticPr fontId="3" type="noConversion"/>
  </si>
  <si>
    <t>08수4884</t>
    <phoneticPr fontId="3" type="noConversion"/>
  </si>
  <si>
    <t>투싼ix</t>
    <phoneticPr fontId="3" type="noConversion"/>
  </si>
  <si>
    <t>박예인</t>
    <phoneticPr fontId="1" type="noConversion"/>
  </si>
  <si>
    <t>부부</t>
    <phoneticPr fontId="3" type="noConversion"/>
  </si>
  <si>
    <t>010-9988-5978</t>
    <phoneticPr fontId="1" type="noConversion"/>
  </si>
  <si>
    <t>19다4952</t>
    <phoneticPr fontId="3" type="noConversion"/>
  </si>
  <si>
    <t>맥스크루즈</t>
    <phoneticPr fontId="3" type="noConversion"/>
  </si>
  <si>
    <t>이명서</t>
    <phoneticPr fontId="1" type="noConversion"/>
  </si>
  <si>
    <t>가족</t>
    <phoneticPr fontId="1" type="noConversion"/>
  </si>
  <si>
    <t>010-3985-9758</t>
    <phoneticPr fontId="1" type="noConversion"/>
  </si>
  <si>
    <t>56가5575</t>
    <phoneticPr fontId="3" type="noConversion"/>
  </si>
  <si>
    <t>SM5</t>
    <phoneticPr fontId="1" type="noConversion"/>
  </si>
  <si>
    <t>김아노</t>
    <phoneticPr fontId="1" type="noConversion"/>
  </si>
  <si>
    <t>만 26세 이상</t>
    <phoneticPr fontId="1" type="noConversion"/>
  </si>
  <si>
    <t>010-2482-2715</t>
    <phoneticPr fontId="1" type="noConversion"/>
  </si>
  <si>
    <t>43르6865</t>
    <phoneticPr fontId="3" type="noConversion"/>
  </si>
  <si>
    <t>코란도 투리스모</t>
    <phoneticPr fontId="1" type="noConversion"/>
  </si>
  <si>
    <t>남은일</t>
    <phoneticPr fontId="1" type="noConversion"/>
  </si>
  <si>
    <t>010-3358-2488</t>
    <phoneticPr fontId="1" type="noConversion"/>
  </si>
  <si>
    <t>01우1711</t>
    <phoneticPr fontId="3" type="noConversion"/>
  </si>
  <si>
    <t>그랜드 카니발</t>
    <phoneticPr fontId="1" type="noConversion"/>
  </si>
  <si>
    <t>강한승</t>
    <phoneticPr fontId="1" type="noConversion"/>
  </si>
  <si>
    <t>010-9354-5518</t>
    <phoneticPr fontId="1" type="noConversion"/>
  </si>
  <si>
    <t>25누5570</t>
    <phoneticPr fontId="3" type="noConversion"/>
  </si>
  <si>
    <t>K5</t>
    <phoneticPr fontId="1" type="noConversion"/>
  </si>
  <si>
    <t>유현해</t>
    <phoneticPr fontId="1" type="noConversion"/>
  </si>
  <si>
    <t>부부</t>
    <phoneticPr fontId="1" type="noConversion"/>
  </si>
  <si>
    <t>010-6855-2394</t>
    <phoneticPr fontId="1" type="noConversion"/>
  </si>
  <si>
    <t>30바2987</t>
    <phoneticPr fontId="1" type="noConversion"/>
  </si>
  <si>
    <t>스파크</t>
    <phoneticPr fontId="1" type="noConversion"/>
  </si>
  <si>
    <t>장이지</t>
    <phoneticPr fontId="1" type="noConversion"/>
  </si>
  <si>
    <t>010-6584-2547</t>
    <phoneticPr fontId="1" type="noConversion"/>
  </si>
  <si>
    <t>13허6193</t>
    <phoneticPr fontId="1" type="noConversion"/>
  </si>
  <si>
    <t>렉스턴W</t>
    <phoneticPr fontId="1" type="noConversion"/>
  </si>
  <si>
    <t>현미경</t>
    <phoneticPr fontId="1" type="noConversion"/>
  </si>
  <si>
    <t>010-3559-4552</t>
    <phoneticPr fontId="1" type="noConversion"/>
  </si>
  <si>
    <t>48라2398</t>
    <phoneticPr fontId="1" type="noConversion"/>
  </si>
  <si>
    <t>아반테 쿠페</t>
    <phoneticPr fontId="1" type="noConversion"/>
  </si>
  <si>
    <t>허영심</t>
    <phoneticPr fontId="1" type="noConversion"/>
  </si>
  <si>
    <t>010-5665-5641</t>
    <phoneticPr fontId="1" type="noConversion"/>
  </si>
  <si>
    <t>할인율</t>
  </si>
  <si>
    <t>통신요금평균</t>
  </si>
  <si>
    <t>할인율증가</t>
  </si>
  <si>
    <t>만든 사람 시나공 날짜 2013-05-09</t>
  </si>
  <si>
    <t>할인율인하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</si>
  <si>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</si>
  <si>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</si>
  <si>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</si>
  <si>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</si>
  <si>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</si>
  <si>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</si>
  <si>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</si>
  <si>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팀명</t>
    <phoneticPr fontId="1" type="noConversion"/>
  </si>
  <si>
    <t>연고지</t>
    <phoneticPr fontId="1" type="noConversion"/>
  </si>
  <si>
    <t>승</t>
    <phoneticPr fontId="1" type="noConversion"/>
  </si>
  <si>
    <t>무</t>
    <phoneticPr fontId="1" type="noConversion"/>
  </si>
  <si>
    <t>패</t>
    <phoneticPr fontId="1" type="noConversion"/>
  </si>
  <si>
    <t>승점</t>
    <phoneticPr fontId="1" type="noConversion"/>
  </si>
  <si>
    <t>대여일</t>
    <phoneticPr fontId="1" type="noConversion"/>
  </si>
  <si>
    <t>반납예정일</t>
    <phoneticPr fontId="1" type="noConversion"/>
  </si>
  <si>
    <t>도서명</t>
    <phoneticPr fontId="1" type="noConversion"/>
  </si>
  <si>
    <t>대여자</t>
    <phoneticPr fontId="1" type="noConversion"/>
  </si>
  <si>
    <t>연락처</t>
    <phoneticPr fontId="1" type="noConversion"/>
  </si>
  <si>
    <t>멈추면 보이는 것</t>
    <phoneticPr fontId="1" type="noConversion"/>
  </si>
  <si>
    <t>함초롱</t>
    <phoneticPr fontId="1" type="noConversion"/>
  </si>
  <si>
    <t>010-9866-78**</t>
    <phoneticPr fontId="1" type="noConversion"/>
  </si>
  <si>
    <t>아프면 청춘</t>
    <phoneticPr fontId="1" type="noConversion"/>
  </si>
  <si>
    <t>이가랑</t>
    <phoneticPr fontId="1" type="noConversion"/>
  </si>
  <si>
    <t>010-5486-62**</t>
    <phoneticPr fontId="1" type="noConversion"/>
  </si>
  <si>
    <t>남들의 물건</t>
    <phoneticPr fontId="1" type="noConversion"/>
  </si>
  <si>
    <t>송아인</t>
    <phoneticPr fontId="1" type="noConversion"/>
  </si>
  <si>
    <t>010-3245-55**</t>
    <phoneticPr fontId="1" type="noConversion"/>
  </si>
  <si>
    <t>김철수의 생각</t>
    <phoneticPr fontId="1" type="noConversion"/>
  </si>
  <si>
    <t>민이리</t>
    <phoneticPr fontId="1" type="noConversion"/>
  </si>
  <si>
    <t>010-5647-89**</t>
    <phoneticPr fontId="1" type="noConversion"/>
  </si>
  <si>
    <t>스티브 애플</t>
    <phoneticPr fontId="1" type="noConversion"/>
  </si>
  <si>
    <t>유아람</t>
    <phoneticPr fontId="1" type="noConversion"/>
  </si>
  <si>
    <t>010-2651-52**</t>
    <phoneticPr fontId="1" type="noConversion"/>
  </si>
  <si>
    <t>프로사회</t>
    <phoneticPr fontId="1" type="noConversion"/>
  </si>
  <si>
    <t>신다솜</t>
    <phoneticPr fontId="1" type="noConversion"/>
  </si>
  <si>
    <t>010-6217-35**</t>
    <phoneticPr fontId="1" type="noConversion"/>
  </si>
  <si>
    <t>달을 품은 해</t>
    <phoneticPr fontId="1" type="noConversion"/>
  </si>
  <si>
    <t>박영청</t>
    <phoneticPr fontId="1" type="noConversion"/>
  </si>
  <si>
    <t>010-2187-67**</t>
    <phoneticPr fontId="1" type="noConversion"/>
  </si>
  <si>
    <t>상상력 백과</t>
    <phoneticPr fontId="1" type="noConversion"/>
  </si>
  <si>
    <t>장유별</t>
    <phoneticPr fontId="1" type="noConversion"/>
  </si>
  <si>
    <t>010-6478-11**</t>
    <phoneticPr fontId="1" type="noConversion"/>
  </si>
  <si>
    <t>아빠를 부탁해</t>
    <phoneticPr fontId="1" type="noConversion"/>
  </si>
  <si>
    <t>강승훈</t>
    <phoneticPr fontId="1" type="noConversion"/>
  </si>
  <si>
    <t>010-9005-72**</t>
    <phoneticPr fontId="1" type="noConversion"/>
  </si>
  <si>
    <t>과일명</t>
    <phoneticPr fontId="1" type="noConversion"/>
  </si>
  <si>
    <t>총개수</t>
    <phoneticPr fontId="1" type="noConversion"/>
  </si>
  <si>
    <t>과일출고현황</t>
    <phoneticPr fontId="1" type="noConversion"/>
  </si>
  <si>
    <t>출고일</t>
    <phoneticPr fontId="1" type="noConversion"/>
  </si>
  <si>
    <t>바나나</t>
    <phoneticPr fontId="1" type="noConversion"/>
  </si>
  <si>
    <t>사과</t>
    <phoneticPr fontId="1" type="noConversion"/>
  </si>
  <si>
    <t>배</t>
    <phoneticPr fontId="1" type="noConversion"/>
  </si>
  <si>
    <t>참외</t>
    <phoneticPr fontId="1" type="noConversion"/>
  </si>
  <si>
    <t>수박</t>
    <phoneticPr fontId="1" type="noConversion"/>
  </si>
  <si>
    <t>감</t>
    <phoneticPr fontId="1" type="noConversion"/>
  </si>
  <si>
    <t>귤</t>
    <phoneticPr fontId="1" type="noConversion"/>
  </si>
  <si>
    <t>자두</t>
    <phoneticPr fontId="1" type="noConversion"/>
  </si>
  <si>
    <t>오렌지</t>
    <phoneticPr fontId="1" type="noConversion"/>
  </si>
  <si>
    <t>파인애플</t>
    <phoneticPr fontId="1" type="noConversion"/>
  </si>
  <si>
    <t>키위</t>
    <phoneticPr fontId="1" type="noConversion"/>
  </si>
  <si>
    <t>자몽</t>
    <phoneticPr fontId="1" type="noConversion"/>
  </si>
  <si>
    <t>앵두</t>
    <phoneticPr fontId="1" type="noConversion"/>
  </si>
  <si>
    <t>석류</t>
    <phoneticPr fontId="1" type="noConversion"/>
  </si>
  <si>
    <t>복숭아</t>
    <phoneticPr fontId="1" type="noConversion"/>
  </si>
  <si>
    <t>상자당개수</t>
    <phoneticPr fontId="1" type="noConversion"/>
  </si>
  <si>
    <t>상자(나머지)</t>
    <phoneticPr fontId="1" type="noConversion"/>
  </si>
</sst>
</file>

<file path=xl/styles.xml><?xml version="1.0" encoding="utf-8"?>
<styleSheet xmlns="http://schemas.openxmlformats.org/spreadsheetml/2006/main">
  <numFmts count="4">
    <numFmt numFmtId="41" formatCode="_-* #,##0_-;\-* #,##0_-;_-* &quot;-&quot;_-;_-@_-"/>
    <numFmt numFmtId="176" formatCode="0_);[Red]\(0\)"/>
    <numFmt numFmtId="177" formatCode="#,##0_ "/>
    <numFmt numFmtId="178" formatCode="#,###&quot;원&quot;"/>
  </numFmts>
  <fonts count="1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u val="double"/>
      <sz val="17"/>
      <color theme="1"/>
      <name val="휴먼옛체"/>
      <family val="1"/>
      <charset val="129"/>
    </font>
    <font>
      <sz val="11"/>
      <color rgb="FF0070C0"/>
      <name val="굴림체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1"/>
      <color rgb="FF0070C0"/>
      <name val="맑은 고딕"/>
      <family val="2"/>
      <charset val="129"/>
      <scheme val="minor"/>
    </font>
    <font>
      <sz val="11"/>
      <color rgb="FF0070C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/>
    <xf numFmtId="41" fontId="2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0" fillId="0" borderId="0" xfId="0" applyAlignment="1"/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7" fillId="0" borderId="0" xfId="0" applyFont="1">
      <alignment vertical="center"/>
    </xf>
    <xf numFmtId="176" fontId="0" fillId="0" borderId="1" xfId="0" applyNumberFormat="1" applyBorder="1">
      <alignment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3" applyFont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3" applyNumberFormat="1" applyFont="1" applyBorder="1" applyAlignment="1">
      <alignment horizontal="center" vertical="center"/>
    </xf>
    <xf numFmtId="9" fontId="0" fillId="0" borderId="1" xfId="0" applyNumberFormat="1" applyBorder="1">
      <alignment vertical="center"/>
    </xf>
    <xf numFmtId="41" fontId="0" fillId="0" borderId="1" xfId="3" applyFont="1" applyBorder="1" applyAlignment="1">
      <alignment horizontal="center" vertical="center"/>
    </xf>
    <xf numFmtId="41" fontId="0" fillId="0" borderId="1" xfId="3" applyNumberFormat="1" applyFont="1" applyBorder="1">
      <alignment vertical="center"/>
    </xf>
    <xf numFmtId="0" fontId="0" fillId="0" borderId="1" xfId="0" applyNumberFormat="1" applyBorder="1" applyAlignment="1">
      <alignment horizontal="center" vertical="center"/>
    </xf>
    <xf numFmtId="177" fontId="0" fillId="0" borderId="1" xfId="3" applyNumberFormat="1" applyFont="1" applyBorder="1" applyAlignment="1">
      <alignment horizontal="right" vertical="center"/>
    </xf>
    <xf numFmtId="0" fontId="11" fillId="3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178" fontId="4" fillId="0" borderId="1" xfId="0" applyNumberFormat="1" applyFont="1" applyBorder="1">
      <alignment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7" xfId="0" applyNumberFormat="1" applyFill="1" applyBorder="1" applyAlignment="1">
      <alignment vertical="center"/>
    </xf>
    <xf numFmtId="0" fontId="13" fillId="4" borderId="5" xfId="0" applyFont="1" applyFill="1" applyBorder="1" applyAlignment="1">
      <alignment horizontal="left" vertical="center"/>
    </xf>
    <xf numFmtId="0" fontId="12" fillId="4" borderId="6" xfId="0" applyFont="1" applyFill="1" applyBorder="1" applyAlignment="1">
      <alignment horizontal="left" vertical="center"/>
    </xf>
    <xf numFmtId="0" fontId="13" fillId="4" borderId="6" xfId="0" applyFont="1" applyFill="1" applyBorder="1" applyAlignment="1">
      <alignment horizontal="left" vertical="center"/>
    </xf>
    <xf numFmtId="0" fontId="0" fillId="0" borderId="3" xfId="0" applyFill="1" applyBorder="1" applyAlignment="1">
      <alignment vertical="center"/>
    </xf>
    <xf numFmtId="0" fontId="14" fillId="5" borderId="0" xfId="0" applyFont="1" applyFill="1" applyBorder="1" applyAlignment="1">
      <alignment horizontal="left" vertical="center"/>
    </xf>
    <xf numFmtId="0" fontId="15" fillId="5" borderId="3" xfId="0" applyFont="1" applyFill="1" applyBorder="1" applyAlignment="1">
      <alignment horizontal="left" vertical="center"/>
    </xf>
    <xf numFmtId="0" fontId="16" fillId="5" borderId="3" xfId="0" applyFont="1" applyFill="1" applyBorder="1" applyAlignment="1">
      <alignment horizontal="left" vertical="center"/>
    </xf>
    <xf numFmtId="0" fontId="14" fillId="5" borderId="7" xfId="0" applyFont="1" applyFill="1" applyBorder="1" applyAlignment="1">
      <alignment horizontal="left" vertical="center"/>
    </xf>
    <xf numFmtId="0" fontId="12" fillId="4" borderId="6" xfId="0" applyFont="1" applyFill="1" applyBorder="1" applyAlignment="1">
      <alignment horizontal="right" vertical="center"/>
    </xf>
    <xf numFmtId="0" fontId="12" fillId="4" borderId="5" xfId="0" applyFont="1" applyFill="1" applyBorder="1" applyAlignment="1">
      <alignment horizontal="right" vertical="center"/>
    </xf>
    <xf numFmtId="9" fontId="0" fillId="6" borderId="0" xfId="0" applyNumberFormat="1" applyFill="1" applyBorder="1" applyAlignment="1">
      <alignment vertical="center"/>
    </xf>
    <xf numFmtId="0" fontId="7" fillId="0" borderId="0" xfId="0" applyFont="1" applyFill="1" applyBorder="1" applyAlignment="1">
      <alignment vertical="top" wrapText="1"/>
    </xf>
    <xf numFmtId="0" fontId="17" fillId="3" borderId="1" xfId="0" applyNumberFormat="1" applyFont="1" applyFill="1" applyBorder="1" applyAlignment="1">
      <alignment horizontal="center" vertical="center"/>
    </xf>
    <xf numFmtId="0" fontId="18" fillId="3" borderId="1" xfId="0" applyNumberFormat="1" applyFont="1" applyFill="1" applyBorder="1" applyAlignment="1">
      <alignment horizontal="center" vertical="center"/>
    </xf>
    <xf numFmtId="0" fontId="0" fillId="0" borderId="1" xfId="3" applyNumberFormat="1" applyFon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41" fontId="0" fillId="0" borderId="1" xfId="3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</cellXfs>
  <cellStyles count="4">
    <cellStyle name="쉼표 [0]" xfId="3" builtinId="6"/>
    <cellStyle name="쉼표 [0] 2" xfId="2"/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title>
      <c:tx>
        <c:rich>
          <a:bodyPr/>
          <a:lstStyle/>
          <a:p>
            <a:pPr>
              <a:defRPr sz="1600">
                <a:latin typeface="굴림체" pitchFamily="49" charset="-127"/>
                <a:ea typeface="굴림체" pitchFamily="49" charset="-127"/>
              </a:defRPr>
            </a:pPr>
            <a:r>
              <a:rPr lang="ko-KR" altLang="en-US" sz="1600">
                <a:latin typeface="굴림체" pitchFamily="49" charset="-127"/>
                <a:ea typeface="굴림체" pitchFamily="49" charset="-127"/>
              </a:rPr>
              <a:t>어린이완구</a:t>
            </a:r>
            <a:r>
              <a:rPr lang="ko-KR" altLang="en-US" sz="1600" baseline="0">
                <a:latin typeface="굴림체" pitchFamily="49" charset="-127"/>
                <a:ea typeface="굴림체" pitchFamily="49" charset="-127"/>
              </a:rPr>
              <a:t> 매출현황</a:t>
            </a:r>
            <a:endParaRPr lang="ko-KR" altLang="en-US" sz="1600">
              <a:latin typeface="굴림체" pitchFamily="49" charset="-127"/>
              <a:ea typeface="굴림체" pitchFamily="49" charset="-127"/>
            </a:endParaRPr>
          </a:p>
        </c:rich>
      </c:tx>
      <c:layout/>
    </c:title>
    <c:plotArea>
      <c:layout/>
      <c:barChart>
        <c:barDir val="col"/>
        <c:grouping val="clustered"/>
        <c:ser>
          <c:idx val="2"/>
          <c:order val="1"/>
          <c:tx>
            <c:strRef>
              <c:f>차트작업!$F$2</c:f>
              <c:strCache>
                <c:ptCount val="1"/>
                <c:pt idx="0">
                  <c:v>총판매액</c:v>
                </c:pt>
              </c:strCache>
            </c:strRef>
          </c:tx>
          <c:cat>
            <c:strRef>
              <c:f>차트작업!$A$3:$A$8</c:f>
              <c:strCache>
                <c:ptCount val="6"/>
                <c:pt idx="0">
                  <c:v>전동차</c:v>
                </c:pt>
                <c:pt idx="1">
                  <c:v>블럭세트</c:v>
                </c:pt>
                <c:pt idx="2">
                  <c:v>실내그네</c:v>
                </c:pt>
                <c:pt idx="3">
                  <c:v>교통놀이</c:v>
                </c:pt>
                <c:pt idx="4">
                  <c:v>킥보드</c:v>
                </c:pt>
                <c:pt idx="5">
                  <c:v>자전거</c:v>
                </c:pt>
              </c:strCache>
            </c:strRef>
          </c:cat>
          <c:val>
            <c:numRef>
              <c:f>차트작업!$F$3:$F$8</c:f>
              <c:numCache>
                <c:formatCode>#,##0_ </c:formatCode>
                <c:ptCount val="6"/>
                <c:pt idx="0">
                  <c:v>29160000</c:v>
                </c:pt>
                <c:pt idx="1">
                  <c:v>22125000</c:v>
                </c:pt>
                <c:pt idx="2">
                  <c:v>10680000</c:v>
                </c:pt>
                <c:pt idx="3">
                  <c:v>13532000</c:v>
                </c:pt>
                <c:pt idx="4">
                  <c:v>7728000</c:v>
                </c:pt>
                <c:pt idx="5">
                  <c:v>19435000</c:v>
                </c:pt>
              </c:numCache>
            </c:numRef>
          </c:val>
        </c:ser>
        <c:dLbls/>
        <c:axId val="87486464"/>
        <c:axId val="87488000"/>
      </c:barChart>
      <c:lineChart>
        <c:grouping val="standard"/>
        <c:ser>
          <c:idx val="0"/>
          <c:order val="0"/>
          <c:tx>
            <c:strRef>
              <c:f>차트작업!$D$2</c:f>
              <c:strCache>
                <c:ptCount val="1"/>
                <c:pt idx="0">
                  <c:v>판매수량</c:v>
                </c:pt>
              </c:strCache>
            </c:strRef>
          </c:tx>
          <c:cat>
            <c:strRef>
              <c:f>차트작업!$A$3:$A$8</c:f>
              <c:strCache>
                <c:ptCount val="6"/>
                <c:pt idx="0">
                  <c:v>전동차</c:v>
                </c:pt>
                <c:pt idx="1">
                  <c:v>블럭세트</c:v>
                </c:pt>
                <c:pt idx="2">
                  <c:v>실내그네</c:v>
                </c:pt>
                <c:pt idx="3">
                  <c:v>교통놀이</c:v>
                </c:pt>
                <c:pt idx="4">
                  <c:v>킥보드</c:v>
                </c:pt>
                <c:pt idx="5">
                  <c:v>자전거</c:v>
                </c:pt>
              </c:strCache>
            </c:strRef>
          </c:cat>
          <c:val>
            <c:numRef>
              <c:f>차트작업!$D$3:$D$8</c:f>
              <c:numCache>
                <c:formatCode>#,##0_ </c:formatCode>
                <c:ptCount val="6"/>
                <c:pt idx="0">
                  <c:v>162</c:v>
                </c:pt>
                <c:pt idx="1">
                  <c:v>295</c:v>
                </c:pt>
                <c:pt idx="2">
                  <c:v>178</c:v>
                </c:pt>
                <c:pt idx="3">
                  <c:v>199</c:v>
                </c:pt>
                <c:pt idx="4">
                  <c:v>184</c:v>
                </c:pt>
                <c:pt idx="5">
                  <c:v>169</c:v>
                </c:pt>
              </c:numCache>
            </c:numRef>
          </c:val>
        </c:ser>
        <c:dLbls/>
        <c:marker val="1"/>
        <c:axId val="87380736"/>
        <c:axId val="87489536"/>
      </c:lineChart>
      <c:catAx>
        <c:axId val="87486464"/>
        <c:scaling>
          <c:orientation val="minMax"/>
        </c:scaling>
        <c:axPos val="b"/>
        <c:tickLblPos val="nextTo"/>
        <c:crossAx val="87488000"/>
        <c:crosses val="autoZero"/>
        <c:auto val="1"/>
        <c:lblAlgn val="ctr"/>
        <c:lblOffset val="100"/>
      </c:catAx>
      <c:valAx>
        <c:axId val="87488000"/>
        <c:scaling>
          <c:orientation val="minMax"/>
        </c:scaling>
        <c:axPos val="l"/>
        <c:majorGridlines/>
        <c:numFmt formatCode="#,##0_ " sourceLinked="1"/>
        <c:tickLblPos val="nextTo"/>
        <c:crossAx val="87486464"/>
        <c:crosses val="autoZero"/>
        <c:crossBetween val="between"/>
        <c:majorUnit val="7000000"/>
      </c:valAx>
      <c:valAx>
        <c:axId val="87489536"/>
        <c:scaling>
          <c:orientation val="minMax"/>
        </c:scaling>
        <c:axPos val="r"/>
        <c:numFmt formatCode="#,##0_ " sourceLinked="1"/>
        <c:tickLblPos val="nextTo"/>
        <c:crossAx val="87380736"/>
        <c:crosses val="max"/>
        <c:crossBetween val="between"/>
        <c:majorUnit val="70"/>
      </c:valAx>
      <c:catAx>
        <c:axId val="87380736"/>
        <c:scaling>
          <c:orientation val="minMax"/>
        </c:scaling>
        <c:delete val="1"/>
        <c:axPos val="b"/>
        <c:tickLblPos val="none"/>
        <c:crossAx val="87489536"/>
        <c:crosses val="autoZero"/>
        <c:auto val="1"/>
        <c:lblAlgn val="ctr"/>
        <c:lblOffset val="100"/>
      </c:catAx>
    </c:plotArea>
    <c:legend>
      <c:legendPos val="t"/>
      <c:layout/>
      <c:txPr>
        <a:bodyPr/>
        <a:lstStyle/>
        <a:p>
          <a:pPr>
            <a:defRPr sz="1200">
              <a:latin typeface="바탕체" pitchFamily="17" charset="-127"/>
              <a:ea typeface="바탕체" pitchFamily="17" charset="-127"/>
            </a:defRPr>
          </a:pPr>
          <a:endParaRPr lang="ko-KR"/>
        </a:p>
      </c:txPr>
    </c:legend>
    <c:plotVisOnly val="1"/>
    <c:dispBlanksAs val="gap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9</xdr:col>
      <xdr:colOff>0</xdr:colOff>
      <xdr:row>4</xdr:row>
      <xdr:rowOff>0</xdr:rowOff>
    </xdr:to>
    <xdr:sp macro="[0]!승점" textlink="">
      <xdr:nvSpPr>
        <xdr:cNvPr id="2" name="십자형 1"/>
        <xdr:cNvSpPr/>
      </xdr:nvSpPr>
      <xdr:spPr>
        <a:xfrm>
          <a:off x="4819650" y="257175"/>
          <a:ext cx="1371600" cy="628650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승점</a:t>
          </a: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9</xdr:col>
      <xdr:colOff>0</xdr:colOff>
      <xdr:row>8</xdr:row>
      <xdr:rowOff>0</xdr:rowOff>
    </xdr:to>
    <xdr:sp macro="[0]!서식" textlink="">
      <xdr:nvSpPr>
        <xdr:cNvPr id="3" name="모서리가 둥근 직사각형 2"/>
        <xdr:cNvSpPr/>
      </xdr:nvSpPr>
      <xdr:spPr>
        <a:xfrm>
          <a:off x="4819650" y="1095375"/>
          <a:ext cx="1371600" cy="628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5</xdr:col>
      <xdr:colOff>904874</xdr:colOff>
      <xdr:row>24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12"/>
  <sheetViews>
    <sheetView tabSelected="1" workbookViewId="0"/>
  </sheetViews>
  <sheetFormatPr defaultRowHeight="16.5"/>
  <cols>
    <col min="1" max="1" width="9.375" bestFit="1" customWidth="1"/>
    <col min="2" max="2" width="15.875" bestFit="1" customWidth="1"/>
    <col min="4" max="4" width="14.125" bestFit="1" customWidth="1"/>
    <col min="5" max="5" width="14.375" bestFit="1" customWidth="1"/>
    <col min="6" max="6" width="11" bestFit="1" customWidth="1"/>
  </cols>
  <sheetData>
    <row r="1" spans="1:6">
      <c r="A1" s="1" t="s">
        <v>0</v>
      </c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 t="s">
        <v>1</v>
      </c>
    </row>
    <row r="3" spans="1:6">
      <c r="A3" s="1" t="s">
        <v>198</v>
      </c>
      <c r="B3" s="1" t="s">
        <v>199</v>
      </c>
      <c r="C3" s="1" t="s">
        <v>200</v>
      </c>
      <c r="D3" s="1" t="s">
        <v>201</v>
      </c>
      <c r="E3" s="1" t="s">
        <v>202</v>
      </c>
      <c r="F3" s="1" t="s">
        <v>203</v>
      </c>
    </row>
    <row r="4" spans="1:6">
      <c r="A4" s="1" t="s">
        <v>204</v>
      </c>
      <c r="B4" s="1" t="s">
        <v>205</v>
      </c>
      <c r="C4" s="1" t="s">
        <v>206</v>
      </c>
      <c r="D4" s="1" t="s">
        <v>207</v>
      </c>
      <c r="E4" s="1" t="s">
        <v>208</v>
      </c>
      <c r="F4" s="1">
        <v>650000</v>
      </c>
    </row>
    <row r="5" spans="1:6">
      <c r="A5" s="1" t="s">
        <v>209</v>
      </c>
      <c r="B5" s="1" t="s">
        <v>210</v>
      </c>
      <c r="C5" s="1" t="s">
        <v>211</v>
      </c>
      <c r="D5" s="1" t="s">
        <v>212</v>
      </c>
      <c r="E5" s="1" t="s">
        <v>213</v>
      </c>
      <c r="F5" s="1">
        <v>1150000</v>
      </c>
    </row>
    <row r="6" spans="1:6">
      <c r="A6" s="1" t="s">
        <v>214</v>
      </c>
      <c r="B6" s="1" t="s">
        <v>215</v>
      </c>
      <c r="C6" s="1" t="s">
        <v>216</v>
      </c>
      <c r="D6" s="1" t="s">
        <v>217</v>
      </c>
      <c r="E6" s="1" t="s">
        <v>218</v>
      </c>
      <c r="F6" s="1">
        <v>895000</v>
      </c>
    </row>
    <row r="7" spans="1:6">
      <c r="A7" s="1" t="s">
        <v>219</v>
      </c>
      <c r="B7" s="1" t="s">
        <v>220</v>
      </c>
      <c r="C7" s="1" t="s">
        <v>221</v>
      </c>
      <c r="D7" s="1" t="s">
        <v>212</v>
      </c>
      <c r="E7" s="1" t="s">
        <v>222</v>
      </c>
      <c r="F7" s="1">
        <v>942000</v>
      </c>
    </row>
    <row r="8" spans="1:6">
      <c r="A8" s="1" t="s">
        <v>223</v>
      </c>
      <c r="B8" s="1" t="s">
        <v>224</v>
      </c>
      <c r="C8" s="1" t="s">
        <v>225</v>
      </c>
      <c r="D8" s="1" t="s">
        <v>217</v>
      </c>
      <c r="E8" s="1" t="s">
        <v>226</v>
      </c>
      <c r="F8" s="1">
        <v>880000</v>
      </c>
    </row>
    <row r="9" spans="1:6">
      <c r="A9" s="1" t="s">
        <v>227</v>
      </c>
      <c r="B9" s="1" t="s">
        <v>228</v>
      </c>
      <c r="C9" s="1" t="s">
        <v>229</v>
      </c>
      <c r="D9" s="1" t="s">
        <v>230</v>
      </c>
      <c r="E9" s="1" t="s">
        <v>231</v>
      </c>
      <c r="F9" s="1">
        <v>849000</v>
      </c>
    </row>
    <row r="10" spans="1:6">
      <c r="A10" s="1" t="s">
        <v>232</v>
      </c>
      <c r="B10" s="1" t="s">
        <v>233</v>
      </c>
      <c r="C10" s="1" t="s">
        <v>234</v>
      </c>
      <c r="D10" s="1" t="s">
        <v>207</v>
      </c>
      <c r="E10" s="1" t="s">
        <v>235</v>
      </c>
      <c r="F10" s="1">
        <v>620000</v>
      </c>
    </row>
    <row r="11" spans="1:6">
      <c r="A11" s="1" t="s">
        <v>236</v>
      </c>
      <c r="B11" s="1" t="s">
        <v>237</v>
      </c>
      <c r="C11" s="1" t="s">
        <v>238</v>
      </c>
      <c r="D11" s="1" t="s">
        <v>217</v>
      </c>
      <c r="E11" s="1" t="s">
        <v>239</v>
      </c>
      <c r="F11" s="1">
        <v>780000</v>
      </c>
    </row>
    <row r="12" spans="1:6">
      <c r="A12" s="1" t="s">
        <v>240</v>
      </c>
      <c r="B12" s="1" t="s">
        <v>241</v>
      </c>
      <c r="C12" s="1" t="s">
        <v>242</v>
      </c>
      <c r="D12" s="1" t="s">
        <v>217</v>
      </c>
      <c r="E12" s="1" t="s">
        <v>243</v>
      </c>
      <c r="F12" s="1">
        <v>640000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13"/>
  <sheetViews>
    <sheetView workbookViewId="0">
      <selection sqref="A1:H1"/>
    </sheetView>
  </sheetViews>
  <sheetFormatPr defaultRowHeight="16.5"/>
  <cols>
    <col min="1" max="2" width="9" style="2"/>
    <col min="3" max="3" width="11" style="2" bestFit="1" customWidth="1"/>
    <col min="4" max="6" width="9" style="2"/>
    <col min="7" max="7" width="9.125" style="2" bestFit="1" customWidth="1"/>
    <col min="8" max="8" width="11.25" style="2" bestFit="1" customWidth="1"/>
    <col min="9" max="16384" width="9" style="2"/>
  </cols>
  <sheetData>
    <row r="1" spans="1:8" ht="21.75">
      <c r="A1" s="42" t="s">
        <v>14</v>
      </c>
      <c r="B1" s="42"/>
      <c r="C1" s="42"/>
      <c r="D1" s="42"/>
      <c r="E1" s="42"/>
      <c r="F1" s="42"/>
      <c r="G1" s="42"/>
      <c r="H1" s="42"/>
    </row>
    <row r="3" spans="1:8">
      <c r="H3" s="2" t="s">
        <v>16</v>
      </c>
    </row>
    <row r="4" spans="1:8">
      <c r="A4" s="18" t="s">
        <v>2</v>
      </c>
      <c r="B4" s="18" t="s">
        <v>3</v>
      </c>
      <c r="C4" s="18" t="s">
        <v>15</v>
      </c>
      <c r="D4" s="18" t="s">
        <v>7</v>
      </c>
      <c r="E4" s="18" t="s">
        <v>8</v>
      </c>
      <c r="F4" s="18" t="s">
        <v>9</v>
      </c>
      <c r="G4" s="18" t="s">
        <v>10</v>
      </c>
      <c r="H4" s="18" t="s">
        <v>11</v>
      </c>
    </row>
    <row r="5" spans="1:8">
      <c r="A5" s="43" t="s">
        <v>4</v>
      </c>
      <c r="B5" s="19" t="s">
        <v>17</v>
      </c>
      <c r="C5" s="20">
        <v>16000</v>
      </c>
      <c r="D5" s="19">
        <v>100</v>
      </c>
      <c r="E5" s="20">
        <v>23000</v>
      </c>
      <c r="F5" s="19">
        <v>88</v>
      </c>
      <c r="G5" s="20">
        <f>E5*0.07</f>
        <v>1610.0000000000002</v>
      </c>
      <c r="H5" s="20">
        <f>ROUND(E5*F5-G5*F5,-3)</f>
        <v>1882000</v>
      </c>
    </row>
    <row r="6" spans="1:8">
      <c r="A6" s="43"/>
      <c r="B6" s="19" t="s">
        <v>12</v>
      </c>
      <c r="C6" s="20">
        <v>10500</v>
      </c>
      <c r="D6" s="19">
        <v>80</v>
      </c>
      <c r="E6" s="20">
        <v>15000</v>
      </c>
      <c r="F6" s="19">
        <v>62</v>
      </c>
      <c r="G6" s="20">
        <f t="shared" ref="G6:G13" si="0">E6*0.07</f>
        <v>1050</v>
      </c>
      <c r="H6" s="20">
        <f t="shared" ref="H6:H13" si="1">ROUND(E6*F6-G6*F6,-3)</f>
        <v>865000</v>
      </c>
    </row>
    <row r="7" spans="1:8">
      <c r="A7" s="43"/>
      <c r="B7" s="19" t="s">
        <v>13</v>
      </c>
      <c r="C7" s="20">
        <v>14000</v>
      </c>
      <c r="D7" s="19">
        <v>120</v>
      </c>
      <c r="E7" s="20">
        <v>20000</v>
      </c>
      <c r="F7" s="19">
        <v>111</v>
      </c>
      <c r="G7" s="20">
        <f t="shared" si="0"/>
        <v>1400.0000000000002</v>
      </c>
      <c r="H7" s="20">
        <f t="shared" si="1"/>
        <v>2065000</v>
      </c>
    </row>
    <row r="8" spans="1:8">
      <c r="A8" s="43" t="s">
        <v>5</v>
      </c>
      <c r="B8" s="19" t="s">
        <v>17</v>
      </c>
      <c r="C8" s="20">
        <v>16000</v>
      </c>
      <c r="D8" s="19">
        <v>80</v>
      </c>
      <c r="E8" s="20">
        <v>23000</v>
      </c>
      <c r="F8" s="19">
        <v>91</v>
      </c>
      <c r="G8" s="20">
        <f t="shared" si="0"/>
        <v>1610.0000000000002</v>
      </c>
      <c r="H8" s="20">
        <f t="shared" si="1"/>
        <v>1946000</v>
      </c>
    </row>
    <row r="9" spans="1:8">
      <c r="A9" s="43"/>
      <c r="B9" s="19" t="s">
        <v>12</v>
      </c>
      <c r="C9" s="20">
        <v>10500</v>
      </c>
      <c r="D9" s="19">
        <v>75</v>
      </c>
      <c r="E9" s="20">
        <v>15000</v>
      </c>
      <c r="F9" s="19">
        <v>93</v>
      </c>
      <c r="G9" s="20">
        <f t="shared" si="0"/>
        <v>1050</v>
      </c>
      <c r="H9" s="20">
        <f t="shared" si="1"/>
        <v>1297000</v>
      </c>
    </row>
    <row r="10" spans="1:8">
      <c r="A10" s="43"/>
      <c r="B10" s="19" t="s">
        <v>13</v>
      </c>
      <c r="C10" s="20">
        <v>14000</v>
      </c>
      <c r="D10" s="19">
        <v>100</v>
      </c>
      <c r="E10" s="20">
        <v>20000</v>
      </c>
      <c r="F10" s="19">
        <v>101</v>
      </c>
      <c r="G10" s="20">
        <f t="shared" si="0"/>
        <v>1400.0000000000002</v>
      </c>
      <c r="H10" s="20">
        <f t="shared" si="1"/>
        <v>1879000</v>
      </c>
    </row>
    <row r="11" spans="1:8">
      <c r="A11" s="43" t="s">
        <v>6</v>
      </c>
      <c r="B11" s="19" t="s">
        <v>17</v>
      </c>
      <c r="C11" s="20">
        <v>16000</v>
      </c>
      <c r="D11" s="19">
        <v>90</v>
      </c>
      <c r="E11" s="20">
        <v>23000</v>
      </c>
      <c r="F11" s="19">
        <v>87</v>
      </c>
      <c r="G11" s="20">
        <f t="shared" si="0"/>
        <v>1610.0000000000002</v>
      </c>
      <c r="H11" s="20">
        <f t="shared" si="1"/>
        <v>1861000</v>
      </c>
    </row>
    <row r="12" spans="1:8">
      <c r="A12" s="43"/>
      <c r="B12" s="19" t="s">
        <v>12</v>
      </c>
      <c r="C12" s="20">
        <v>10500</v>
      </c>
      <c r="D12" s="19">
        <v>100</v>
      </c>
      <c r="E12" s="20">
        <v>15000</v>
      </c>
      <c r="F12" s="19">
        <v>96</v>
      </c>
      <c r="G12" s="20">
        <f t="shared" si="0"/>
        <v>1050</v>
      </c>
      <c r="H12" s="20">
        <f t="shared" si="1"/>
        <v>1339000</v>
      </c>
    </row>
    <row r="13" spans="1:8">
      <c r="A13" s="43"/>
      <c r="B13" s="19" t="s">
        <v>13</v>
      </c>
      <c r="C13" s="20">
        <v>14000</v>
      </c>
      <c r="D13" s="19">
        <v>100</v>
      </c>
      <c r="E13" s="20">
        <v>20000</v>
      </c>
      <c r="F13" s="19">
        <v>92</v>
      </c>
      <c r="G13" s="20">
        <f t="shared" si="0"/>
        <v>1400.0000000000002</v>
      </c>
      <c r="H13" s="20">
        <f t="shared" si="1"/>
        <v>1711000</v>
      </c>
    </row>
  </sheetData>
  <mergeCells count="4">
    <mergeCell ref="A1:H1"/>
    <mergeCell ref="A11:A13"/>
    <mergeCell ref="A8:A10"/>
    <mergeCell ref="A5:A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/>
  <dimension ref="H16:L25"/>
  <sheetViews>
    <sheetView workbookViewId="0"/>
  </sheetViews>
  <sheetFormatPr defaultRowHeight="16.5"/>
  <cols>
    <col min="1" max="1" width="2.625" customWidth="1"/>
    <col min="2" max="2" width="16.5" bestFit="1" customWidth="1"/>
    <col min="3" max="3" width="9" customWidth="1"/>
    <col min="4" max="4" width="13.875" bestFit="1" customWidth="1"/>
    <col min="5" max="6" width="11.125" bestFit="1" customWidth="1"/>
    <col min="8" max="8" width="16.5" bestFit="1" customWidth="1"/>
    <col min="9" max="9" width="9" customWidth="1"/>
    <col min="10" max="10" width="13.875" bestFit="1" customWidth="1"/>
    <col min="11" max="12" width="11.125" bestFit="1" customWidth="1"/>
  </cols>
  <sheetData>
    <row r="16" spans="8:12">
      <c r="H16" s="5" t="s">
        <v>264</v>
      </c>
      <c r="I16" s="5" t="s">
        <v>265</v>
      </c>
      <c r="J16" s="5" t="s">
        <v>266</v>
      </c>
      <c r="K16" s="5" t="s">
        <v>262</v>
      </c>
      <c r="L16" s="5" t="s">
        <v>263</v>
      </c>
    </row>
    <row r="17" spans="8:12">
      <c r="H17" s="5" t="s">
        <v>267</v>
      </c>
      <c r="I17" s="5" t="s">
        <v>268</v>
      </c>
      <c r="J17" s="5" t="s">
        <v>269</v>
      </c>
      <c r="K17" s="9">
        <v>41330</v>
      </c>
      <c r="L17" s="9">
        <v>41336</v>
      </c>
    </row>
    <row r="18" spans="8:12">
      <c r="H18" s="5" t="s">
        <v>270</v>
      </c>
      <c r="I18" s="5" t="s">
        <v>271</v>
      </c>
      <c r="J18" s="5" t="s">
        <v>272</v>
      </c>
      <c r="K18" s="9">
        <v>41330</v>
      </c>
      <c r="L18" s="9">
        <v>41336</v>
      </c>
    </row>
    <row r="19" spans="8:12">
      <c r="H19" s="5" t="s">
        <v>273</v>
      </c>
      <c r="I19" s="5" t="s">
        <v>274</v>
      </c>
      <c r="J19" s="5" t="s">
        <v>275</v>
      </c>
      <c r="K19" s="9">
        <v>41335</v>
      </c>
      <c r="L19" s="9">
        <v>41341</v>
      </c>
    </row>
    <row r="20" spans="8:12">
      <c r="H20" s="5" t="s">
        <v>276</v>
      </c>
      <c r="I20" s="5" t="s">
        <v>277</v>
      </c>
      <c r="J20" s="5" t="s">
        <v>278</v>
      </c>
      <c r="K20" s="9">
        <v>41336</v>
      </c>
      <c r="L20" s="9">
        <v>41342</v>
      </c>
    </row>
    <row r="21" spans="8:12">
      <c r="H21" s="5" t="s">
        <v>279</v>
      </c>
      <c r="I21" s="5" t="s">
        <v>280</v>
      </c>
      <c r="J21" s="5" t="s">
        <v>281</v>
      </c>
      <c r="K21" s="9">
        <v>41336</v>
      </c>
      <c r="L21" s="9">
        <v>41342</v>
      </c>
    </row>
    <row r="22" spans="8:12">
      <c r="H22" s="5" t="s">
        <v>282</v>
      </c>
      <c r="I22" s="5" t="s">
        <v>283</v>
      </c>
      <c r="J22" s="5" t="s">
        <v>284</v>
      </c>
      <c r="K22" s="9">
        <v>41337</v>
      </c>
      <c r="L22" s="9">
        <v>41343</v>
      </c>
    </row>
    <row r="23" spans="8:12">
      <c r="H23" s="5" t="s">
        <v>285</v>
      </c>
      <c r="I23" s="5" t="s">
        <v>286</v>
      </c>
      <c r="J23" s="5" t="s">
        <v>287</v>
      </c>
      <c r="K23" s="9">
        <v>41338</v>
      </c>
      <c r="L23" s="9">
        <v>41344</v>
      </c>
    </row>
    <row r="24" spans="8:12">
      <c r="H24" s="5" t="s">
        <v>288</v>
      </c>
      <c r="I24" s="5" t="s">
        <v>289</v>
      </c>
      <c r="J24" s="5" t="s">
        <v>290</v>
      </c>
      <c r="K24" s="9">
        <v>41338</v>
      </c>
      <c r="L24" s="9">
        <v>41344</v>
      </c>
    </row>
    <row r="25" spans="8:12">
      <c r="H25" s="5" t="s">
        <v>291</v>
      </c>
      <c r="I25" s="5" t="s">
        <v>292</v>
      </c>
      <c r="J25" s="5" t="s">
        <v>293</v>
      </c>
      <c r="K25" s="9">
        <v>41339</v>
      </c>
      <c r="L25" s="9">
        <v>41345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L42"/>
  <sheetViews>
    <sheetView zoomScaleNormal="100" workbookViewId="0"/>
  </sheetViews>
  <sheetFormatPr defaultRowHeight="16.5"/>
  <cols>
    <col min="2" max="2" width="11.125" customWidth="1"/>
    <col min="3" max="4" width="11.125" bestFit="1" customWidth="1"/>
    <col min="5" max="5" width="12.375" bestFit="1" customWidth="1"/>
    <col min="6" max="6" width="3.625" customWidth="1"/>
    <col min="8" max="8" width="10.875" customWidth="1"/>
    <col min="9" max="11" width="10.875" bestFit="1" customWidth="1"/>
    <col min="12" max="12" width="9" customWidth="1"/>
  </cols>
  <sheetData>
    <row r="1" spans="1:12">
      <c r="A1" s="7" t="s">
        <v>18</v>
      </c>
      <c r="B1" s="3" t="s">
        <v>29</v>
      </c>
      <c r="G1" s="7" t="s">
        <v>44</v>
      </c>
      <c r="H1" s="3" t="s">
        <v>49</v>
      </c>
    </row>
    <row r="2" spans="1:12">
      <c r="A2" s="5" t="s">
        <v>33</v>
      </c>
      <c r="B2" s="5" t="s">
        <v>43</v>
      </c>
      <c r="C2" s="5" t="s">
        <v>30</v>
      </c>
      <c r="D2" s="5" t="s">
        <v>31</v>
      </c>
      <c r="E2" s="6" t="s">
        <v>32</v>
      </c>
      <c r="G2" s="5" t="s">
        <v>77</v>
      </c>
      <c r="H2" s="5" t="s">
        <v>133</v>
      </c>
      <c r="I2" s="5" t="s">
        <v>46</v>
      </c>
      <c r="J2" s="5" t="s">
        <v>47</v>
      </c>
      <c r="K2" s="5" t="s">
        <v>48</v>
      </c>
      <c r="L2" s="6" t="s">
        <v>93</v>
      </c>
    </row>
    <row r="3" spans="1:12">
      <c r="A3" s="5" t="s">
        <v>34</v>
      </c>
      <c r="B3" s="9">
        <v>41323</v>
      </c>
      <c r="C3" s="9">
        <v>41329</v>
      </c>
      <c r="D3" s="9">
        <v>41331</v>
      </c>
      <c r="E3" s="8">
        <f>DAYS360(C3,D3)*100</f>
        <v>200</v>
      </c>
      <c r="G3" s="5" t="s">
        <v>20</v>
      </c>
      <c r="H3" s="5" t="s">
        <v>53</v>
      </c>
      <c r="I3" s="12">
        <v>90</v>
      </c>
      <c r="J3" s="12">
        <v>92</v>
      </c>
      <c r="K3" s="12">
        <v>69</v>
      </c>
      <c r="L3" s="5" t="str">
        <f>IF(AND(I3&gt;=70,J3&gt;=70,K3&gt;=70,SUM(I3:K3)&gt;=250),"진급","")</f>
        <v/>
      </c>
    </row>
    <row r="4" spans="1:12">
      <c r="A4" s="5" t="s">
        <v>35</v>
      </c>
      <c r="B4" s="9">
        <v>41325</v>
      </c>
      <c r="C4" s="9">
        <v>41331</v>
      </c>
      <c r="D4" s="9">
        <v>41339</v>
      </c>
      <c r="E4" s="8">
        <f t="shared" ref="E4:E11" si="0">DAYS360(C4,D4)*100</f>
        <v>1000</v>
      </c>
      <c r="G4" s="5" t="s">
        <v>27</v>
      </c>
      <c r="H4" s="5" t="s">
        <v>54</v>
      </c>
      <c r="I4" s="12">
        <v>62</v>
      </c>
      <c r="J4" s="12">
        <v>70</v>
      </c>
      <c r="K4" s="12">
        <v>71</v>
      </c>
      <c r="L4" s="5" t="str">
        <f t="shared" ref="L4:L11" si="1">IF(AND(I4&gt;=70,J4&gt;=70,K4&gt;=70,SUM(I4:K4)&gt;=250),"진급","")</f>
        <v/>
      </c>
    </row>
    <row r="5" spans="1:12">
      <c r="A5" s="5" t="s">
        <v>36</v>
      </c>
      <c r="B5" s="9">
        <v>41327</v>
      </c>
      <c r="C5" s="9">
        <v>41333</v>
      </c>
      <c r="D5" s="9">
        <v>41338</v>
      </c>
      <c r="E5" s="8">
        <f t="shared" si="0"/>
        <v>500</v>
      </c>
      <c r="G5" s="5" t="s">
        <v>21</v>
      </c>
      <c r="H5" s="5" t="s">
        <v>55</v>
      </c>
      <c r="I5" s="12">
        <v>85</v>
      </c>
      <c r="J5" s="12">
        <v>80</v>
      </c>
      <c r="K5" s="12">
        <v>88</v>
      </c>
      <c r="L5" s="5" t="str">
        <f t="shared" si="1"/>
        <v>진급</v>
      </c>
    </row>
    <row r="6" spans="1:12">
      <c r="A6" s="5" t="s">
        <v>37</v>
      </c>
      <c r="B6" s="9">
        <v>41328</v>
      </c>
      <c r="C6" s="9">
        <v>41334</v>
      </c>
      <c r="D6" s="9">
        <v>41338</v>
      </c>
      <c r="E6" s="8">
        <f t="shared" si="0"/>
        <v>400</v>
      </c>
      <c r="G6" s="5" t="s">
        <v>22</v>
      </c>
      <c r="H6" s="5" t="s">
        <v>55</v>
      </c>
      <c r="I6" s="12">
        <v>94</v>
      </c>
      <c r="J6" s="12">
        <v>90</v>
      </c>
      <c r="K6" s="12">
        <v>92</v>
      </c>
      <c r="L6" s="5" t="str">
        <f t="shared" si="1"/>
        <v>진급</v>
      </c>
    </row>
    <row r="7" spans="1:12">
      <c r="A7" s="5" t="s">
        <v>38</v>
      </c>
      <c r="B7" s="9">
        <v>41328</v>
      </c>
      <c r="C7" s="9">
        <v>41334</v>
      </c>
      <c r="D7" s="9">
        <v>41336</v>
      </c>
      <c r="E7" s="8">
        <f t="shared" si="0"/>
        <v>200</v>
      </c>
      <c r="G7" s="5" t="s">
        <v>23</v>
      </c>
      <c r="H7" s="5" t="s">
        <v>53</v>
      </c>
      <c r="I7" s="12">
        <v>82</v>
      </c>
      <c r="J7" s="12">
        <v>88</v>
      </c>
      <c r="K7" s="12">
        <v>80</v>
      </c>
      <c r="L7" s="5" t="str">
        <f t="shared" si="1"/>
        <v>진급</v>
      </c>
    </row>
    <row r="8" spans="1:12">
      <c r="A8" s="5" t="s">
        <v>39</v>
      </c>
      <c r="B8" s="9">
        <v>41329</v>
      </c>
      <c r="C8" s="9">
        <v>41335</v>
      </c>
      <c r="D8" s="9">
        <v>41338</v>
      </c>
      <c r="E8" s="8">
        <f t="shared" si="0"/>
        <v>300</v>
      </c>
      <c r="G8" s="5" t="s">
        <v>24</v>
      </c>
      <c r="H8" s="5" t="s">
        <v>55</v>
      </c>
      <c r="I8" s="12">
        <v>66</v>
      </c>
      <c r="J8" s="12">
        <v>69</v>
      </c>
      <c r="K8" s="12">
        <v>72</v>
      </c>
      <c r="L8" s="5" t="str">
        <f t="shared" si="1"/>
        <v/>
      </c>
    </row>
    <row r="9" spans="1:12">
      <c r="A9" s="5" t="s">
        <v>40</v>
      </c>
      <c r="B9" s="9">
        <v>41329</v>
      </c>
      <c r="C9" s="9">
        <v>41335</v>
      </c>
      <c r="D9" s="9">
        <v>41338</v>
      </c>
      <c r="E9" s="8">
        <f t="shared" si="0"/>
        <v>300</v>
      </c>
      <c r="G9" s="5" t="s">
        <v>25</v>
      </c>
      <c r="H9" s="5" t="s">
        <v>53</v>
      </c>
      <c r="I9" s="12">
        <v>84</v>
      </c>
      <c r="J9" s="12">
        <v>80</v>
      </c>
      <c r="K9" s="12">
        <v>77</v>
      </c>
      <c r="L9" s="5" t="str">
        <f t="shared" si="1"/>
        <v/>
      </c>
    </row>
    <row r="10" spans="1:12">
      <c r="A10" s="5" t="s">
        <v>41</v>
      </c>
      <c r="B10" s="9">
        <v>41329</v>
      </c>
      <c r="C10" s="9">
        <v>41335</v>
      </c>
      <c r="D10" s="9">
        <v>41337</v>
      </c>
      <c r="E10" s="8">
        <f t="shared" si="0"/>
        <v>200</v>
      </c>
      <c r="G10" s="5" t="s">
        <v>26</v>
      </c>
      <c r="H10" s="5" t="s">
        <v>54</v>
      </c>
      <c r="I10" s="12">
        <v>78</v>
      </c>
      <c r="J10" s="12">
        <v>80</v>
      </c>
      <c r="K10" s="12">
        <v>79</v>
      </c>
      <c r="L10" s="5" t="str">
        <f t="shared" si="1"/>
        <v/>
      </c>
    </row>
    <row r="11" spans="1:12">
      <c r="A11" s="5" t="s">
        <v>42</v>
      </c>
      <c r="B11" s="9">
        <v>41330</v>
      </c>
      <c r="C11" s="9">
        <v>41336</v>
      </c>
      <c r="D11" s="9">
        <v>41341</v>
      </c>
      <c r="E11" s="8">
        <f t="shared" si="0"/>
        <v>500</v>
      </c>
      <c r="G11" s="5" t="s">
        <v>28</v>
      </c>
      <c r="H11" s="5" t="s">
        <v>54</v>
      </c>
      <c r="I11" s="12">
        <v>80</v>
      </c>
      <c r="J11" s="12">
        <v>91</v>
      </c>
      <c r="K11" s="12">
        <v>80</v>
      </c>
      <c r="L11" s="5" t="str">
        <f t="shared" si="1"/>
        <v>진급</v>
      </c>
    </row>
    <row r="13" spans="1:12">
      <c r="A13" s="7" t="s">
        <v>56</v>
      </c>
      <c r="B13" s="3" t="s">
        <v>296</v>
      </c>
      <c r="G13" s="7" t="s">
        <v>76</v>
      </c>
      <c r="H13" s="3" t="s">
        <v>19</v>
      </c>
    </row>
    <row r="14" spans="1:12">
      <c r="A14" s="39" t="s">
        <v>294</v>
      </c>
      <c r="B14" s="39" t="s">
        <v>297</v>
      </c>
      <c r="C14" s="39" t="s">
        <v>295</v>
      </c>
      <c r="D14" s="39" t="s">
        <v>313</v>
      </c>
      <c r="E14" s="6" t="s">
        <v>314</v>
      </c>
      <c r="G14" s="5" t="s">
        <v>77</v>
      </c>
      <c r="H14" s="5" t="s">
        <v>70</v>
      </c>
      <c r="I14" s="5" t="s">
        <v>132</v>
      </c>
      <c r="J14" s="5" t="s">
        <v>71</v>
      </c>
      <c r="K14" s="6" t="s">
        <v>78</v>
      </c>
    </row>
    <row r="15" spans="1:12">
      <c r="A15" s="39" t="s">
        <v>298</v>
      </c>
      <c r="B15" s="40">
        <v>41338</v>
      </c>
      <c r="C15" s="39">
        <v>331</v>
      </c>
      <c r="D15" s="38">
        <v>20</v>
      </c>
      <c r="E15" s="41" t="str">
        <f>INT(C15/D15)&amp;"("&amp;MOD(C15,D15)&amp;")"</f>
        <v>16(11)</v>
      </c>
      <c r="G15" s="5" t="s">
        <v>58</v>
      </c>
      <c r="H15" s="5" t="s">
        <v>72</v>
      </c>
      <c r="I15" s="5" t="s">
        <v>69</v>
      </c>
      <c r="J15" s="10">
        <v>500000</v>
      </c>
      <c r="K15" s="10">
        <f>HLOOKUP(I15,$H$27:$K$29,2,FALSE)+HLOOKUP(I15,$H$27:$K$29,3,FALSE)+J15</f>
        <v>4180000</v>
      </c>
    </row>
    <row r="16" spans="1:12">
      <c r="A16" s="39" t="s">
        <v>299</v>
      </c>
      <c r="B16" s="40">
        <v>41338</v>
      </c>
      <c r="C16" s="39">
        <v>512</v>
      </c>
      <c r="D16" s="38">
        <v>35</v>
      </c>
      <c r="E16" s="41" t="str">
        <f t="shared" ref="E16:E29" si="2">INT(C16/D16)&amp;"("&amp;MOD(C16,D16)&amp;")"</f>
        <v>14(22)</v>
      </c>
      <c r="G16" s="5" t="s">
        <v>59</v>
      </c>
      <c r="H16" s="5" t="s">
        <v>73</v>
      </c>
      <c r="I16" s="5" t="s">
        <v>51</v>
      </c>
      <c r="J16" s="10">
        <v>300000</v>
      </c>
      <c r="K16" s="10">
        <f t="shared" ref="K16:K24" si="3">HLOOKUP(I16,$H$27:$K$29,2,FALSE)+HLOOKUP(I16,$H$27:$K$29,3,FALSE)+J16</f>
        <v>2820000</v>
      </c>
    </row>
    <row r="17" spans="1:11">
      <c r="A17" s="39" t="s">
        <v>300</v>
      </c>
      <c r="B17" s="40">
        <v>41338</v>
      </c>
      <c r="C17" s="39">
        <v>319</v>
      </c>
      <c r="D17" s="38">
        <v>35</v>
      </c>
      <c r="E17" s="41" t="str">
        <f t="shared" si="2"/>
        <v>9(4)</v>
      </c>
      <c r="G17" s="5" t="s">
        <v>60</v>
      </c>
      <c r="H17" s="5" t="s">
        <v>74</v>
      </c>
      <c r="I17" s="5" t="s">
        <v>52</v>
      </c>
      <c r="J17" s="10">
        <v>400000</v>
      </c>
      <c r="K17" s="10">
        <f t="shared" si="3"/>
        <v>3550000</v>
      </c>
    </row>
    <row r="18" spans="1:11">
      <c r="A18" s="39" t="s">
        <v>301</v>
      </c>
      <c r="B18" s="40">
        <v>41338</v>
      </c>
      <c r="C18" s="39">
        <v>534</v>
      </c>
      <c r="D18" s="38">
        <v>30</v>
      </c>
      <c r="E18" s="41" t="str">
        <f t="shared" si="2"/>
        <v>17(24)</v>
      </c>
      <c r="G18" s="5" t="s">
        <v>61</v>
      </c>
      <c r="H18" s="5" t="s">
        <v>74</v>
      </c>
      <c r="I18" s="5" t="s">
        <v>50</v>
      </c>
      <c r="J18" s="10">
        <v>250000</v>
      </c>
      <c r="K18" s="10">
        <f t="shared" si="3"/>
        <v>2150000</v>
      </c>
    </row>
    <row r="19" spans="1:11">
      <c r="A19" s="39" t="s">
        <v>302</v>
      </c>
      <c r="B19" s="40">
        <v>41338</v>
      </c>
      <c r="C19" s="39">
        <v>286</v>
      </c>
      <c r="D19" s="38">
        <v>15</v>
      </c>
      <c r="E19" s="41" t="str">
        <f t="shared" si="2"/>
        <v>19(1)</v>
      </c>
      <c r="G19" s="5" t="s">
        <v>62</v>
      </c>
      <c r="H19" s="5" t="s">
        <v>72</v>
      </c>
      <c r="I19" s="5" t="s">
        <v>51</v>
      </c>
      <c r="J19" s="10">
        <v>300000</v>
      </c>
      <c r="K19" s="10">
        <f t="shared" si="3"/>
        <v>2820000</v>
      </c>
    </row>
    <row r="20" spans="1:11">
      <c r="A20" s="39" t="s">
        <v>303</v>
      </c>
      <c r="B20" s="40">
        <v>41339</v>
      </c>
      <c r="C20" s="39">
        <v>521</v>
      </c>
      <c r="D20" s="38">
        <v>40</v>
      </c>
      <c r="E20" s="41" t="str">
        <f t="shared" si="2"/>
        <v>13(1)</v>
      </c>
      <c r="G20" s="5" t="s">
        <v>63</v>
      </c>
      <c r="H20" s="5" t="s">
        <v>73</v>
      </c>
      <c r="I20" s="5" t="s">
        <v>50</v>
      </c>
      <c r="J20" s="10">
        <v>250000</v>
      </c>
      <c r="K20" s="10">
        <f t="shared" si="3"/>
        <v>2150000</v>
      </c>
    </row>
    <row r="21" spans="1:11">
      <c r="A21" s="39" t="s">
        <v>304</v>
      </c>
      <c r="B21" s="40">
        <v>41339</v>
      </c>
      <c r="C21" s="39">
        <v>597</v>
      </c>
      <c r="D21" s="38">
        <v>40</v>
      </c>
      <c r="E21" s="41" t="str">
        <f t="shared" si="2"/>
        <v>14(37)</v>
      </c>
      <c r="G21" s="5" t="s">
        <v>64</v>
      </c>
      <c r="H21" s="5" t="s">
        <v>75</v>
      </c>
      <c r="I21" s="5" t="s">
        <v>52</v>
      </c>
      <c r="J21" s="10">
        <v>400000</v>
      </c>
      <c r="K21" s="10">
        <f t="shared" si="3"/>
        <v>3550000</v>
      </c>
    </row>
    <row r="22" spans="1:11">
      <c r="A22" s="39" t="s">
        <v>305</v>
      </c>
      <c r="B22" s="40">
        <v>41339</v>
      </c>
      <c r="C22" s="39">
        <v>605</v>
      </c>
      <c r="D22" s="38">
        <v>45</v>
      </c>
      <c r="E22" s="41" t="str">
        <f t="shared" si="2"/>
        <v>13(20)</v>
      </c>
      <c r="G22" s="5" t="s">
        <v>65</v>
      </c>
      <c r="H22" s="5" t="s">
        <v>73</v>
      </c>
      <c r="I22" s="5" t="s">
        <v>50</v>
      </c>
      <c r="J22" s="10">
        <v>250000</v>
      </c>
      <c r="K22" s="10">
        <f t="shared" si="3"/>
        <v>2150000</v>
      </c>
    </row>
    <row r="23" spans="1:11">
      <c r="A23" s="39" t="s">
        <v>306</v>
      </c>
      <c r="B23" s="40">
        <v>41339</v>
      </c>
      <c r="C23" s="39">
        <v>535</v>
      </c>
      <c r="D23" s="38">
        <v>30</v>
      </c>
      <c r="E23" s="41" t="str">
        <f t="shared" si="2"/>
        <v>17(25)</v>
      </c>
      <c r="G23" s="5" t="s">
        <v>66</v>
      </c>
      <c r="H23" s="5" t="s">
        <v>75</v>
      </c>
      <c r="I23" s="5" t="s">
        <v>69</v>
      </c>
      <c r="J23" s="10">
        <v>500000</v>
      </c>
      <c r="K23" s="10">
        <f t="shared" si="3"/>
        <v>4180000</v>
      </c>
    </row>
    <row r="24" spans="1:11">
      <c r="A24" s="39" t="s">
        <v>307</v>
      </c>
      <c r="B24" s="40">
        <v>41339</v>
      </c>
      <c r="C24" s="39">
        <v>329</v>
      </c>
      <c r="D24" s="38">
        <v>25</v>
      </c>
      <c r="E24" s="41" t="str">
        <f t="shared" si="2"/>
        <v>13(4)</v>
      </c>
      <c r="G24" s="5" t="s">
        <v>67</v>
      </c>
      <c r="H24" s="5" t="s">
        <v>72</v>
      </c>
      <c r="I24" s="5" t="s">
        <v>51</v>
      </c>
      <c r="J24" s="10">
        <v>300000</v>
      </c>
      <c r="K24" s="10">
        <f t="shared" si="3"/>
        <v>2820000</v>
      </c>
    </row>
    <row r="25" spans="1:11">
      <c r="A25" s="39" t="s">
        <v>308</v>
      </c>
      <c r="B25" s="40">
        <v>41340</v>
      </c>
      <c r="C25" s="39">
        <v>574</v>
      </c>
      <c r="D25" s="38">
        <v>45</v>
      </c>
      <c r="E25" s="41" t="str">
        <f t="shared" si="2"/>
        <v>12(34)</v>
      </c>
    </row>
    <row r="26" spans="1:11">
      <c r="A26" s="39" t="s">
        <v>309</v>
      </c>
      <c r="B26" s="40">
        <v>41340</v>
      </c>
      <c r="C26" s="39">
        <v>346</v>
      </c>
      <c r="D26" s="38">
        <v>30</v>
      </c>
      <c r="E26" s="41" t="str">
        <f t="shared" si="2"/>
        <v>11(16)</v>
      </c>
      <c r="G26" t="s">
        <v>134</v>
      </c>
    </row>
    <row r="27" spans="1:11">
      <c r="A27" s="39" t="s">
        <v>310</v>
      </c>
      <c r="B27" s="40">
        <v>41340</v>
      </c>
      <c r="C27" s="39">
        <v>618</v>
      </c>
      <c r="D27" s="38">
        <v>50</v>
      </c>
      <c r="E27" s="41" t="str">
        <f t="shared" si="2"/>
        <v>12(18)</v>
      </c>
      <c r="G27" s="11" t="s">
        <v>132</v>
      </c>
      <c r="H27" s="5" t="s">
        <v>50</v>
      </c>
      <c r="I27" s="5" t="s">
        <v>51</v>
      </c>
      <c r="J27" s="5" t="s">
        <v>52</v>
      </c>
      <c r="K27" s="5" t="s">
        <v>69</v>
      </c>
    </row>
    <row r="28" spans="1:11">
      <c r="A28" s="39" t="s">
        <v>311</v>
      </c>
      <c r="B28" s="40">
        <v>41340</v>
      </c>
      <c r="C28" s="39">
        <v>485</v>
      </c>
      <c r="D28" s="39">
        <v>35</v>
      </c>
      <c r="E28" s="41" t="str">
        <f t="shared" si="2"/>
        <v>13(30)</v>
      </c>
      <c r="G28" s="11" t="s">
        <v>68</v>
      </c>
      <c r="H28" s="10">
        <v>1800000</v>
      </c>
      <c r="I28" s="10">
        <v>2400000</v>
      </c>
      <c r="J28" s="10">
        <v>3000000</v>
      </c>
      <c r="K28" s="10">
        <v>3500000</v>
      </c>
    </row>
    <row r="29" spans="1:11">
      <c r="A29" s="39" t="s">
        <v>312</v>
      </c>
      <c r="B29" s="40">
        <v>41340</v>
      </c>
      <c r="C29" s="39">
        <v>507</v>
      </c>
      <c r="D29" s="39">
        <v>35</v>
      </c>
      <c r="E29" s="41" t="str">
        <f t="shared" si="2"/>
        <v>14(17)</v>
      </c>
      <c r="G29" s="11" t="s">
        <v>135</v>
      </c>
      <c r="H29" s="10">
        <v>100000</v>
      </c>
      <c r="I29" s="10">
        <v>120000</v>
      </c>
      <c r="J29" s="10">
        <v>150000</v>
      </c>
      <c r="K29" s="10">
        <v>180000</v>
      </c>
    </row>
    <row r="31" spans="1:11">
      <c r="A31" s="7" t="s">
        <v>79</v>
      </c>
      <c r="B31" s="3" t="s">
        <v>94</v>
      </c>
    </row>
    <row r="32" spans="1:11">
      <c r="A32" s="5" t="s">
        <v>95</v>
      </c>
      <c r="B32" s="5" t="s">
        <v>57</v>
      </c>
      <c r="C32" s="5" t="s">
        <v>87</v>
      </c>
      <c r="D32" s="5" t="s">
        <v>96</v>
      </c>
      <c r="E32" s="6" t="s">
        <v>45</v>
      </c>
    </row>
    <row r="33" spans="1:5">
      <c r="A33" s="5">
        <v>1</v>
      </c>
      <c r="B33" s="5" t="s">
        <v>80</v>
      </c>
      <c r="C33" s="5" t="s">
        <v>88</v>
      </c>
      <c r="D33" s="5">
        <v>78</v>
      </c>
      <c r="E33" s="5" t="str">
        <f>IFERROR(CHOOSE(RANK(D33,$D$33:$D$42),"대상","금상","은상","동상"),"")</f>
        <v/>
      </c>
    </row>
    <row r="34" spans="1:5">
      <c r="A34" s="5">
        <v>1</v>
      </c>
      <c r="B34" s="5" t="s">
        <v>81</v>
      </c>
      <c r="C34" s="5" t="s">
        <v>89</v>
      </c>
      <c r="D34" s="5">
        <v>86</v>
      </c>
      <c r="E34" s="5" t="str">
        <f t="shared" ref="E34:E42" si="4">IFERROR(CHOOSE(RANK(D34,$D$33:$D$42),"대상","금상","은상","동상"),"")</f>
        <v/>
      </c>
    </row>
    <row r="35" spans="1:5">
      <c r="A35" s="5">
        <v>1</v>
      </c>
      <c r="B35" s="5" t="s">
        <v>82</v>
      </c>
      <c r="C35" s="5" t="s">
        <v>89</v>
      </c>
      <c r="D35" s="5">
        <v>90</v>
      </c>
      <c r="E35" s="5" t="str">
        <f t="shared" si="4"/>
        <v/>
      </c>
    </row>
    <row r="36" spans="1:5">
      <c r="A36" s="5">
        <v>1</v>
      </c>
      <c r="B36" s="5" t="s">
        <v>83</v>
      </c>
      <c r="C36" s="5" t="s">
        <v>88</v>
      </c>
      <c r="D36" s="5">
        <v>91</v>
      </c>
      <c r="E36" s="5" t="str">
        <f t="shared" si="4"/>
        <v>동상</v>
      </c>
    </row>
    <row r="37" spans="1:5">
      <c r="A37" s="5">
        <v>2</v>
      </c>
      <c r="B37" s="5" t="s">
        <v>84</v>
      </c>
      <c r="C37" s="5" t="s">
        <v>88</v>
      </c>
      <c r="D37" s="5">
        <v>92</v>
      </c>
      <c r="E37" s="5" t="str">
        <f t="shared" si="4"/>
        <v>은상</v>
      </c>
    </row>
    <row r="38" spans="1:5">
      <c r="A38" s="5">
        <v>2</v>
      </c>
      <c r="B38" s="5" t="s">
        <v>85</v>
      </c>
      <c r="C38" s="5" t="s">
        <v>88</v>
      </c>
      <c r="D38" s="5">
        <v>82</v>
      </c>
      <c r="E38" s="5" t="str">
        <f t="shared" si="4"/>
        <v/>
      </c>
    </row>
    <row r="39" spans="1:5">
      <c r="A39" s="5">
        <v>2</v>
      </c>
      <c r="B39" s="5" t="s">
        <v>90</v>
      </c>
      <c r="C39" s="5" t="s">
        <v>89</v>
      </c>
      <c r="D39" s="5">
        <v>94</v>
      </c>
      <c r="E39" s="5" t="str">
        <f t="shared" si="4"/>
        <v>대상</v>
      </c>
    </row>
    <row r="40" spans="1:5">
      <c r="A40" s="5">
        <v>3</v>
      </c>
      <c r="B40" s="5" t="s">
        <v>86</v>
      </c>
      <c r="C40" s="5" t="s">
        <v>88</v>
      </c>
      <c r="D40" s="5">
        <v>89</v>
      </c>
      <c r="E40" s="5" t="str">
        <f t="shared" si="4"/>
        <v/>
      </c>
    </row>
    <row r="41" spans="1:5">
      <c r="A41" s="5">
        <v>3</v>
      </c>
      <c r="B41" s="5" t="s">
        <v>91</v>
      </c>
      <c r="C41" s="5" t="s">
        <v>89</v>
      </c>
      <c r="D41" s="5">
        <v>93</v>
      </c>
      <c r="E41" s="5" t="str">
        <f t="shared" si="4"/>
        <v>금상</v>
      </c>
    </row>
    <row r="42" spans="1:5">
      <c r="A42" s="11">
        <v>3</v>
      </c>
      <c r="B42" s="11" t="s">
        <v>92</v>
      </c>
      <c r="C42" s="5" t="s">
        <v>89</v>
      </c>
      <c r="D42" s="5">
        <v>87</v>
      </c>
      <c r="E42" s="5" t="str">
        <f t="shared" si="4"/>
        <v/>
      </c>
    </row>
  </sheetData>
  <sortState ref="A15:E27">
    <sortCondition ref="A14"/>
  </sortState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>
    <outlinePr summaryBelow="0"/>
  </sheetPr>
  <dimension ref="B1:F11"/>
  <sheetViews>
    <sheetView showGridLines="0" workbookViewId="0"/>
  </sheetViews>
  <sheetFormatPr defaultRowHeight="16.5" outlineLevelRow="1" outlineLevelCol="1"/>
  <cols>
    <col min="3" max="3" width="13" bestFit="1" customWidth="1"/>
    <col min="4" max="6" width="11" bestFit="1" customWidth="1" outlineLevel="1"/>
  </cols>
  <sheetData>
    <row r="1" spans="2:6" ht="17.25" thickBot="1"/>
    <row r="2" spans="2:6">
      <c r="B2" s="25" t="s">
        <v>249</v>
      </c>
      <c r="C2" s="26"/>
      <c r="D2" s="32"/>
      <c r="E2" s="32"/>
      <c r="F2" s="32"/>
    </row>
    <row r="3" spans="2:6" collapsed="1">
      <c r="B3" s="24"/>
      <c r="C3" s="24"/>
      <c r="D3" s="33" t="s">
        <v>251</v>
      </c>
      <c r="E3" s="33" t="s">
        <v>246</v>
      </c>
      <c r="F3" s="33" t="s">
        <v>248</v>
      </c>
    </row>
    <row r="4" spans="2:6" ht="40.5" hidden="1" outlineLevel="1">
      <c r="B4" s="28"/>
      <c r="C4" s="28"/>
      <c r="D4" s="21"/>
      <c r="E4" s="35" t="s">
        <v>247</v>
      </c>
      <c r="F4" s="35" t="s">
        <v>247</v>
      </c>
    </row>
    <row r="5" spans="2:6">
      <c r="B5" s="29" t="s">
        <v>250</v>
      </c>
      <c r="C5" s="30"/>
      <c r="D5" s="27"/>
      <c r="E5" s="27"/>
      <c r="F5" s="27"/>
    </row>
    <row r="6" spans="2:6" outlineLevel="1">
      <c r="B6" s="28"/>
      <c r="C6" s="28" t="s">
        <v>244</v>
      </c>
      <c r="D6" s="22">
        <v>0.2</v>
      </c>
      <c r="E6" s="34">
        <v>0.3</v>
      </c>
      <c r="F6" s="34">
        <v>0.1</v>
      </c>
    </row>
    <row r="7" spans="2:6">
      <c r="B7" s="29" t="s">
        <v>252</v>
      </c>
      <c r="C7" s="30"/>
      <c r="D7" s="27"/>
      <c r="E7" s="27"/>
      <c r="F7" s="27"/>
    </row>
    <row r="8" spans="2:6" ht="17.25" outlineLevel="1" thickBot="1">
      <c r="B8" s="31"/>
      <c r="C8" s="31" t="s">
        <v>245</v>
      </c>
      <c r="D8" s="23">
        <v>65280</v>
      </c>
      <c r="E8" s="23">
        <v>57120</v>
      </c>
      <c r="F8" s="23">
        <v>73440</v>
      </c>
    </row>
    <row r="9" spans="2:6">
      <c r="B9" t="s">
        <v>253</v>
      </c>
    </row>
    <row r="10" spans="2:6">
      <c r="B10" t="s">
        <v>254</v>
      </c>
    </row>
    <row r="11" spans="2:6">
      <c r="B11" t="s">
        <v>255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G19"/>
  <sheetViews>
    <sheetView workbookViewId="0">
      <selection sqref="A1:G1"/>
    </sheetView>
  </sheetViews>
  <sheetFormatPr defaultRowHeight="16.5"/>
  <cols>
    <col min="1" max="1" width="13.75" bestFit="1" customWidth="1"/>
    <col min="2" max="2" width="11" bestFit="1" customWidth="1"/>
    <col min="3" max="3" width="13" bestFit="1" customWidth="1"/>
    <col min="5" max="5" width="11" bestFit="1" customWidth="1"/>
    <col min="6" max="6" width="9" customWidth="1"/>
  </cols>
  <sheetData>
    <row r="1" spans="1:7" ht="20.25">
      <c r="A1" s="46" t="s">
        <v>100</v>
      </c>
      <c r="B1" s="46"/>
      <c r="C1" s="46"/>
      <c r="D1" s="46"/>
      <c r="E1" s="46"/>
      <c r="F1" s="46"/>
      <c r="G1" s="46"/>
    </row>
    <row r="3" spans="1:7">
      <c r="A3" s="5" t="s">
        <v>97</v>
      </c>
      <c r="B3" s="5" t="s">
        <v>114</v>
      </c>
      <c r="C3" s="5" t="s">
        <v>122</v>
      </c>
      <c r="D3" s="5" t="s">
        <v>121</v>
      </c>
      <c r="E3" s="5" t="s">
        <v>123</v>
      </c>
      <c r="F3" s="5" t="s">
        <v>120</v>
      </c>
      <c r="G3" s="5" t="s">
        <v>113</v>
      </c>
    </row>
    <row r="4" spans="1:7">
      <c r="A4" s="5" t="s">
        <v>105</v>
      </c>
      <c r="B4" s="5" t="s">
        <v>115</v>
      </c>
      <c r="C4" s="10">
        <v>25000</v>
      </c>
      <c r="D4" s="10">
        <v>52000</v>
      </c>
      <c r="E4" s="10">
        <v>3500</v>
      </c>
      <c r="F4" s="15">
        <f>ROUND(SUM(C4:E4)*11%,-1)</f>
        <v>8860</v>
      </c>
      <c r="G4" s="10">
        <f>ROUND(SUM(C4:F4)-SUM(C4:F4)*$B$19,-1)</f>
        <v>71490</v>
      </c>
    </row>
    <row r="5" spans="1:7">
      <c r="A5" s="5" t="s">
        <v>101</v>
      </c>
      <c r="B5" s="5" t="s">
        <v>116</v>
      </c>
      <c r="C5" s="10">
        <v>22000</v>
      </c>
      <c r="D5" s="10">
        <v>48000</v>
      </c>
      <c r="E5" s="10">
        <v>3300</v>
      </c>
      <c r="F5" s="15">
        <f t="shared" ref="F5:F16" si="0">ROUND(SUM(C5:E5)*11%,-1)</f>
        <v>8060</v>
      </c>
      <c r="G5" s="10">
        <f t="shared" ref="G5:G16" si="1">ROUND(SUM(C5:F5)-SUM(C5:F5)*$B$19,-1)</f>
        <v>65090</v>
      </c>
    </row>
    <row r="6" spans="1:7">
      <c r="A6" s="5" t="s">
        <v>104</v>
      </c>
      <c r="B6" s="5" t="s">
        <v>125</v>
      </c>
      <c r="C6" s="10">
        <v>25000</v>
      </c>
      <c r="D6" s="10">
        <v>52000</v>
      </c>
      <c r="E6" s="10">
        <v>3500</v>
      </c>
      <c r="F6" s="15">
        <f t="shared" si="0"/>
        <v>8860</v>
      </c>
      <c r="G6" s="10">
        <f t="shared" si="1"/>
        <v>71490</v>
      </c>
    </row>
    <row r="7" spans="1:7">
      <c r="A7" s="5" t="s">
        <v>98</v>
      </c>
      <c r="B7" s="5" t="s">
        <v>115</v>
      </c>
      <c r="C7" s="10">
        <v>25000</v>
      </c>
      <c r="D7" s="10">
        <v>52000</v>
      </c>
      <c r="E7" s="10">
        <v>3500</v>
      </c>
      <c r="F7" s="15">
        <f t="shared" si="0"/>
        <v>8860</v>
      </c>
      <c r="G7" s="10">
        <f t="shared" si="1"/>
        <v>71490</v>
      </c>
    </row>
    <row r="8" spans="1:7">
      <c r="A8" s="5" t="s">
        <v>107</v>
      </c>
      <c r="B8" s="5" t="s">
        <v>117</v>
      </c>
      <c r="C8" s="10">
        <v>25000</v>
      </c>
      <c r="D8" s="10">
        <v>52000</v>
      </c>
      <c r="E8" s="10">
        <v>3500</v>
      </c>
      <c r="F8" s="15">
        <f t="shared" si="0"/>
        <v>8860</v>
      </c>
      <c r="G8" s="10">
        <f t="shared" si="1"/>
        <v>71490</v>
      </c>
    </row>
    <row r="9" spans="1:7">
      <c r="A9" s="5" t="s">
        <v>99</v>
      </c>
      <c r="B9" s="5" t="s">
        <v>115</v>
      </c>
      <c r="C9" s="10">
        <v>20000</v>
      </c>
      <c r="D9" s="10">
        <v>42000</v>
      </c>
      <c r="E9" s="10">
        <v>3000</v>
      </c>
      <c r="F9" s="15">
        <f t="shared" si="0"/>
        <v>7150</v>
      </c>
      <c r="G9" s="10">
        <f t="shared" si="1"/>
        <v>57720</v>
      </c>
    </row>
    <row r="10" spans="1:7">
      <c r="A10" s="5" t="s">
        <v>106</v>
      </c>
      <c r="B10" s="5" t="s">
        <v>117</v>
      </c>
      <c r="C10" s="10">
        <v>22000</v>
      </c>
      <c r="D10" s="10">
        <v>48000</v>
      </c>
      <c r="E10" s="10">
        <v>3300</v>
      </c>
      <c r="F10" s="15">
        <f t="shared" si="0"/>
        <v>8060</v>
      </c>
      <c r="G10" s="10">
        <f t="shared" si="1"/>
        <v>65090</v>
      </c>
    </row>
    <row r="11" spans="1:7">
      <c r="A11" s="5" t="s">
        <v>102</v>
      </c>
      <c r="B11" s="5" t="s">
        <v>115</v>
      </c>
      <c r="C11" s="10">
        <v>20000</v>
      </c>
      <c r="D11" s="10">
        <v>42000</v>
      </c>
      <c r="E11" s="10">
        <v>3000</v>
      </c>
      <c r="F11" s="15">
        <f t="shared" si="0"/>
        <v>7150</v>
      </c>
      <c r="G11" s="10">
        <f t="shared" si="1"/>
        <v>57720</v>
      </c>
    </row>
    <row r="12" spans="1:7">
      <c r="A12" s="5" t="s">
        <v>103</v>
      </c>
      <c r="B12" s="5" t="s">
        <v>116</v>
      </c>
      <c r="C12" s="10">
        <v>25000</v>
      </c>
      <c r="D12" s="10">
        <v>52000</v>
      </c>
      <c r="E12" s="10">
        <v>3500</v>
      </c>
      <c r="F12" s="15">
        <f t="shared" si="0"/>
        <v>8860</v>
      </c>
      <c r="G12" s="10">
        <f t="shared" si="1"/>
        <v>71490</v>
      </c>
    </row>
    <row r="13" spans="1:7">
      <c r="A13" s="5" t="s">
        <v>108</v>
      </c>
      <c r="B13" s="5" t="s">
        <v>115</v>
      </c>
      <c r="C13" s="10">
        <v>22000</v>
      </c>
      <c r="D13" s="10">
        <v>48000</v>
      </c>
      <c r="E13" s="10">
        <v>3300</v>
      </c>
      <c r="F13" s="15">
        <f t="shared" si="0"/>
        <v>8060</v>
      </c>
      <c r="G13" s="10">
        <f t="shared" si="1"/>
        <v>65090</v>
      </c>
    </row>
    <row r="14" spans="1:7">
      <c r="A14" s="5" t="s">
        <v>109</v>
      </c>
      <c r="B14" s="5" t="s">
        <v>118</v>
      </c>
      <c r="C14" s="10">
        <v>20000</v>
      </c>
      <c r="D14" s="10">
        <v>42000</v>
      </c>
      <c r="E14" s="10">
        <v>3000</v>
      </c>
      <c r="F14" s="15">
        <f t="shared" si="0"/>
        <v>7150</v>
      </c>
      <c r="G14" s="10">
        <f t="shared" si="1"/>
        <v>57720</v>
      </c>
    </row>
    <row r="15" spans="1:7">
      <c r="A15" s="5" t="s">
        <v>110</v>
      </c>
      <c r="B15" s="5" t="s">
        <v>118</v>
      </c>
      <c r="C15" s="10">
        <v>20000</v>
      </c>
      <c r="D15" s="10">
        <v>42000</v>
      </c>
      <c r="E15" s="10">
        <v>3000</v>
      </c>
      <c r="F15" s="15">
        <f t="shared" si="0"/>
        <v>7150</v>
      </c>
      <c r="G15" s="10">
        <f t="shared" si="1"/>
        <v>57720</v>
      </c>
    </row>
    <row r="16" spans="1:7">
      <c r="A16" s="5" t="s">
        <v>111</v>
      </c>
      <c r="B16" s="5" t="s">
        <v>119</v>
      </c>
      <c r="C16" s="10">
        <v>22000</v>
      </c>
      <c r="D16" s="10">
        <v>48000</v>
      </c>
      <c r="E16" s="10">
        <v>3300</v>
      </c>
      <c r="F16" s="15">
        <f t="shared" si="0"/>
        <v>8060</v>
      </c>
      <c r="G16" s="10">
        <f t="shared" si="1"/>
        <v>65090</v>
      </c>
    </row>
    <row r="17" spans="1:7">
      <c r="A17" s="44" t="s">
        <v>124</v>
      </c>
      <c r="B17" s="45"/>
      <c r="C17" s="14">
        <f>ROUND(AVERAGE(C4:C16),-1)</f>
        <v>22540</v>
      </c>
      <c r="D17" s="14">
        <f t="shared" ref="D17:F17" si="2">ROUND(AVERAGE(D4:D16),-1)</f>
        <v>47690</v>
      </c>
      <c r="E17" s="14">
        <f t="shared" si="2"/>
        <v>3280</v>
      </c>
      <c r="F17" s="14">
        <f t="shared" si="2"/>
        <v>8090</v>
      </c>
      <c r="G17" s="10">
        <f>ROUND(SUM(C17:F17)-SUM(C17:F17)*B19,-1)</f>
        <v>65280</v>
      </c>
    </row>
    <row r="19" spans="1:7">
      <c r="A19" s="4" t="s">
        <v>112</v>
      </c>
      <c r="B19" s="13">
        <v>0.2</v>
      </c>
    </row>
  </sheetData>
  <scenarios current="1" sqref="G17">
    <scenario name="할인율증가" locked="1" count="1" user="시나공" comment="만든 사람 시나공 날짜 2013-05-09">
      <inputCells r="B19" val="0.3" numFmtId="9"/>
    </scenario>
    <scenario name="할인율인하" locked="1" count="1" user="시나공" comment="만든 사람 시나공 날짜 2013-05-09">
      <inputCells r="B19" val="0.1" numFmtId="9"/>
    </scenario>
  </scenarios>
  <dataConsolidate function="average" topLabels="1"/>
  <mergeCells count="2">
    <mergeCell ref="A17:B17"/>
    <mergeCell ref="A1:G1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O35"/>
  <sheetViews>
    <sheetView workbookViewId="0">
      <selection sqref="A1:H1"/>
    </sheetView>
  </sheetViews>
  <sheetFormatPr defaultRowHeight="16.5"/>
  <cols>
    <col min="4" max="4" width="10.875" bestFit="1" customWidth="1"/>
    <col min="5" max="5" width="9.375" bestFit="1" customWidth="1"/>
    <col min="6" max="6" width="10.875" bestFit="1" customWidth="1"/>
    <col min="7" max="7" width="9.375" bestFit="1" customWidth="1"/>
    <col min="8" max="8" width="10.875" bestFit="1" customWidth="1"/>
    <col min="9" max="9" width="5.625" customWidth="1"/>
    <col min="11" max="11" width="10.875" bestFit="1" customWidth="1"/>
    <col min="12" max="12" width="9.375" bestFit="1" customWidth="1"/>
    <col min="13" max="13" width="10.875" bestFit="1" customWidth="1"/>
    <col min="14" max="14" width="9.375" bestFit="1" customWidth="1"/>
    <col min="15" max="15" width="10.875" bestFit="1" customWidth="1"/>
  </cols>
  <sheetData>
    <row r="1" spans="1:15" ht="17.25">
      <c r="A1" s="47" t="s">
        <v>127</v>
      </c>
      <c r="B1" s="47"/>
      <c r="C1" s="47"/>
      <c r="D1" s="47"/>
      <c r="E1" s="47"/>
      <c r="F1" s="47"/>
      <c r="G1" s="47"/>
      <c r="H1" s="47"/>
      <c r="J1" s="47" t="s">
        <v>130</v>
      </c>
      <c r="K1" s="47"/>
      <c r="L1" s="47"/>
      <c r="M1" s="47"/>
      <c r="N1" s="47"/>
      <c r="O1" s="47"/>
    </row>
    <row r="2" spans="1:15">
      <c r="A2" s="5" t="s">
        <v>131</v>
      </c>
      <c r="B2" s="5" t="s">
        <v>70</v>
      </c>
      <c r="C2" s="5" t="s">
        <v>132</v>
      </c>
      <c r="D2" s="5" t="s">
        <v>68</v>
      </c>
      <c r="E2" s="5" t="s">
        <v>143</v>
      </c>
      <c r="F2" s="5" t="s">
        <v>144</v>
      </c>
      <c r="G2" s="5" t="s">
        <v>145</v>
      </c>
      <c r="H2" s="5" t="s">
        <v>153</v>
      </c>
      <c r="J2" s="5" t="s">
        <v>131</v>
      </c>
      <c r="K2" s="5" t="s">
        <v>68</v>
      </c>
      <c r="L2" s="5" t="s">
        <v>143</v>
      </c>
      <c r="M2" s="5" t="s">
        <v>144</v>
      </c>
      <c r="N2" s="5" t="s">
        <v>145</v>
      </c>
      <c r="O2" s="5" t="s">
        <v>153</v>
      </c>
    </row>
    <row r="3" spans="1:15">
      <c r="A3" s="5" t="s">
        <v>126</v>
      </c>
      <c r="B3" s="12" t="s">
        <v>146</v>
      </c>
      <c r="C3" s="12" t="s">
        <v>150</v>
      </c>
      <c r="D3" s="10">
        <v>2800000</v>
      </c>
      <c r="E3" s="10">
        <v>800000</v>
      </c>
      <c r="F3" s="10">
        <f>D3*50%</f>
        <v>1400000</v>
      </c>
      <c r="G3" s="10">
        <f>SUM(D3:F3)*12%</f>
        <v>600000</v>
      </c>
      <c r="H3" s="10">
        <f>SUM(D3:F3)-G3</f>
        <v>4400000</v>
      </c>
      <c r="J3" s="5" t="s">
        <v>126</v>
      </c>
      <c r="K3" s="15">
        <v>2800000</v>
      </c>
      <c r="L3" s="15">
        <v>683333.33333333337</v>
      </c>
      <c r="M3" s="15">
        <v>933333.33333333337</v>
      </c>
      <c r="N3" s="15">
        <v>530000</v>
      </c>
      <c r="O3" s="15">
        <v>3886666.6666666665</v>
      </c>
    </row>
    <row r="4" spans="1:15">
      <c r="A4" s="5" t="s">
        <v>136</v>
      </c>
      <c r="B4" s="12" t="s">
        <v>146</v>
      </c>
      <c r="C4" s="12" t="s">
        <v>151</v>
      </c>
      <c r="D4" s="10">
        <v>2200000</v>
      </c>
      <c r="E4" s="10">
        <v>600000</v>
      </c>
      <c r="F4" s="10">
        <f t="shared" ref="F4:F11" si="0">D4*50%</f>
        <v>1100000</v>
      </c>
      <c r="G4" s="10">
        <f t="shared" ref="G4:G11" si="1">SUM(D4:F4)*12%</f>
        <v>468000</v>
      </c>
      <c r="H4" s="10">
        <f t="shared" ref="H4:H11" si="2">SUM(D4:F4)-G4</f>
        <v>3432000</v>
      </c>
      <c r="J4" s="5" t="s">
        <v>136</v>
      </c>
      <c r="K4" s="15">
        <v>2200000</v>
      </c>
      <c r="L4" s="15">
        <v>466666.66666666669</v>
      </c>
      <c r="M4" s="15">
        <v>733333.33333333337</v>
      </c>
      <c r="N4" s="15">
        <v>408000</v>
      </c>
      <c r="O4" s="15">
        <v>2992000</v>
      </c>
    </row>
    <row r="5" spans="1:15">
      <c r="A5" s="5" t="s">
        <v>137</v>
      </c>
      <c r="B5" s="12" t="s">
        <v>146</v>
      </c>
      <c r="C5" s="12" t="s">
        <v>152</v>
      </c>
      <c r="D5" s="10">
        <v>1800000</v>
      </c>
      <c r="E5" s="10">
        <v>400000</v>
      </c>
      <c r="F5" s="10">
        <f t="shared" si="0"/>
        <v>900000</v>
      </c>
      <c r="G5" s="10">
        <f t="shared" si="1"/>
        <v>372000</v>
      </c>
      <c r="H5" s="10">
        <f t="shared" si="2"/>
        <v>2728000</v>
      </c>
      <c r="J5" s="5" t="s">
        <v>137</v>
      </c>
      <c r="K5" s="15">
        <v>1800000</v>
      </c>
      <c r="L5" s="15">
        <v>333333.33333333331</v>
      </c>
      <c r="M5" s="15">
        <v>600000</v>
      </c>
      <c r="N5" s="15">
        <v>328000</v>
      </c>
      <c r="O5" s="15">
        <v>2405333.3333333335</v>
      </c>
    </row>
    <row r="6" spans="1:15">
      <c r="A6" s="5" t="s">
        <v>138</v>
      </c>
      <c r="B6" s="12" t="s">
        <v>147</v>
      </c>
      <c r="C6" s="12" t="s">
        <v>150</v>
      </c>
      <c r="D6" s="10">
        <v>2600000</v>
      </c>
      <c r="E6" s="10">
        <v>800000</v>
      </c>
      <c r="F6" s="10">
        <f t="shared" si="0"/>
        <v>1300000</v>
      </c>
      <c r="G6" s="10">
        <f t="shared" si="1"/>
        <v>564000</v>
      </c>
      <c r="H6" s="10">
        <f t="shared" si="2"/>
        <v>4136000</v>
      </c>
      <c r="J6" s="5" t="s">
        <v>138</v>
      </c>
      <c r="K6" s="15">
        <v>2600000</v>
      </c>
      <c r="L6" s="15">
        <v>683333.33333333337</v>
      </c>
      <c r="M6" s="15">
        <v>866666.66666666663</v>
      </c>
      <c r="N6" s="15">
        <v>498000</v>
      </c>
      <c r="O6" s="15">
        <v>3652000</v>
      </c>
    </row>
    <row r="7" spans="1:15">
      <c r="A7" s="5" t="s">
        <v>139</v>
      </c>
      <c r="B7" s="12" t="s">
        <v>147</v>
      </c>
      <c r="C7" s="12" t="s">
        <v>151</v>
      </c>
      <c r="D7" s="10">
        <v>2200000</v>
      </c>
      <c r="E7" s="10">
        <v>600000</v>
      </c>
      <c r="F7" s="10">
        <f t="shared" si="0"/>
        <v>1100000</v>
      </c>
      <c r="G7" s="10">
        <f t="shared" si="1"/>
        <v>468000</v>
      </c>
      <c r="H7" s="10">
        <f t="shared" si="2"/>
        <v>3432000</v>
      </c>
      <c r="J7" s="5" t="s">
        <v>139</v>
      </c>
      <c r="K7" s="15">
        <v>2200000</v>
      </c>
      <c r="L7" s="15">
        <v>466666.66666666669</v>
      </c>
      <c r="M7" s="15">
        <v>733333.33333333337</v>
      </c>
      <c r="N7" s="15">
        <v>408000</v>
      </c>
      <c r="O7" s="15">
        <v>2992000</v>
      </c>
    </row>
    <row r="8" spans="1:15">
      <c r="A8" s="5" t="s">
        <v>140</v>
      </c>
      <c r="B8" s="12" t="s">
        <v>147</v>
      </c>
      <c r="C8" s="12" t="s">
        <v>152</v>
      </c>
      <c r="D8" s="10">
        <v>1700000</v>
      </c>
      <c r="E8" s="10">
        <v>400000</v>
      </c>
      <c r="F8" s="10">
        <f t="shared" si="0"/>
        <v>850000</v>
      </c>
      <c r="G8" s="10">
        <f t="shared" si="1"/>
        <v>354000</v>
      </c>
      <c r="H8" s="10">
        <f t="shared" si="2"/>
        <v>2596000</v>
      </c>
      <c r="J8" s="5" t="s">
        <v>140</v>
      </c>
      <c r="K8" s="15">
        <v>1700000</v>
      </c>
      <c r="L8" s="15">
        <v>333333.33333333331</v>
      </c>
      <c r="M8" s="15">
        <v>566666.66666666663</v>
      </c>
      <c r="N8" s="15">
        <v>312000</v>
      </c>
      <c r="O8" s="15">
        <v>2288000</v>
      </c>
    </row>
    <row r="9" spans="1:15">
      <c r="A9" s="5" t="s">
        <v>141</v>
      </c>
      <c r="B9" s="12" t="s">
        <v>148</v>
      </c>
      <c r="C9" s="12" t="s">
        <v>150</v>
      </c>
      <c r="D9" s="10">
        <v>2500000</v>
      </c>
      <c r="E9" s="10">
        <v>800000</v>
      </c>
      <c r="F9" s="10">
        <f t="shared" si="0"/>
        <v>1250000</v>
      </c>
      <c r="G9" s="10">
        <f t="shared" si="1"/>
        <v>546000</v>
      </c>
      <c r="H9" s="10">
        <f t="shared" si="2"/>
        <v>4004000</v>
      </c>
      <c r="J9" s="5" t="s">
        <v>141</v>
      </c>
      <c r="K9" s="15">
        <v>2500000</v>
      </c>
      <c r="L9" s="15">
        <v>683333.33333333337</v>
      </c>
      <c r="M9" s="15">
        <v>833333.33333333337</v>
      </c>
      <c r="N9" s="15">
        <v>482000</v>
      </c>
      <c r="O9" s="15">
        <v>3534666.6666666665</v>
      </c>
    </row>
    <row r="10" spans="1:15">
      <c r="A10" s="5" t="s">
        <v>142</v>
      </c>
      <c r="B10" s="12" t="s">
        <v>148</v>
      </c>
      <c r="C10" s="12" t="s">
        <v>151</v>
      </c>
      <c r="D10" s="10">
        <v>2300000</v>
      </c>
      <c r="E10" s="10">
        <v>600000</v>
      </c>
      <c r="F10" s="10">
        <f t="shared" si="0"/>
        <v>1150000</v>
      </c>
      <c r="G10" s="10">
        <f t="shared" si="1"/>
        <v>486000</v>
      </c>
      <c r="H10" s="10">
        <f t="shared" si="2"/>
        <v>3564000</v>
      </c>
      <c r="J10" s="5" t="s">
        <v>142</v>
      </c>
      <c r="K10" s="15">
        <v>2300000</v>
      </c>
      <c r="L10" s="15">
        <v>466666.66666666669</v>
      </c>
      <c r="M10" s="15">
        <v>766666.66666666663</v>
      </c>
      <c r="N10" s="15">
        <v>424000</v>
      </c>
      <c r="O10" s="15">
        <v>3109333.3333333335</v>
      </c>
    </row>
    <row r="11" spans="1:15">
      <c r="A11" s="5" t="s">
        <v>149</v>
      </c>
      <c r="B11" s="12" t="s">
        <v>148</v>
      </c>
      <c r="C11" s="12" t="s">
        <v>152</v>
      </c>
      <c r="D11" s="10">
        <v>1800000</v>
      </c>
      <c r="E11" s="10">
        <v>400000</v>
      </c>
      <c r="F11" s="10">
        <f t="shared" si="0"/>
        <v>900000</v>
      </c>
      <c r="G11" s="10">
        <f t="shared" si="1"/>
        <v>372000</v>
      </c>
      <c r="H11" s="10">
        <f t="shared" si="2"/>
        <v>2728000</v>
      </c>
      <c r="J11" s="5" t="s">
        <v>149</v>
      </c>
      <c r="K11" s="15">
        <v>1800000</v>
      </c>
      <c r="L11" s="15">
        <v>333333.33333333331</v>
      </c>
      <c r="M11" s="15">
        <v>600000</v>
      </c>
      <c r="N11" s="15">
        <v>328000</v>
      </c>
      <c r="O11" s="15">
        <v>2405333.3333333335</v>
      </c>
    </row>
    <row r="13" spans="1:15" ht="17.25">
      <c r="A13" s="47" t="s">
        <v>128</v>
      </c>
      <c r="B13" s="47"/>
      <c r="C13" s="47"/>
      <c r="D13" s="47"/>
      <c r="E13" s="47"/>
      <c r="F13" s="47"/>
      <c r="G13" s="47"/>
      <c r="H13" s="47"/>
    </row>
    <row r="14" spans="1:15">
      <c r="A14" s="5" t="s">
        <v>131</v>
      </c>
      <c r="B14" s="5" t="s">
        <v>70</v>
      </c>
      <c r="C14" s="5" t="s">
        <v>132</v>
      </c>
      <c r="D14" s="5" t="s">
        <v>68</v>
      </c>
      <c r="E14" s="5" t="s">
        <v>143</v>
      </c>
      <c r="F14" s="5" t="s">
        <v>144</v>
      </c>
      <c r="G14" s="5" t="s">
        <v>145</v>
      </c>
      <c r="H14" s="5" t="s">
        <v>153</v>
      </c>
    </row>
    <row r="15" spans="1:15">
      <c r="A15" s="5" t="s">
        <v>126</v>
      </c>
      <c r="B15" s="12" t="s">
        <v>146</v>
      </c>
      <c r="C15" s="12" t="s">
        <v>150</v>
      </c>
      <c r="D15" s="10">
        <v>2800000</v>
      </c>
      <c r="E15" s="10">
        <v>600000</v>
      </c>
      <c r="F15" s="10">
        <f>D15*20%</f>
        <v>560000</v>
      </c>
      <c r="G15" s="10">
        <f>SUM(D15:F15)*12%</f>
        <v>475200</v>
      </c>
      <c r="H15" s="10">
        <f>SUM(D15:F15)-G15</f>
        <v>3484800</v>
      </c>
    </row>
    <row r="16" spans="1:15">
      <c r="A16" s="5" t="s">
        <v>136</v>
      </c>
      <c r="B16" s="12" t="s">
        <v>146</v>
      </c>
      <c r="C16" s="12" t="s">
        <v>151</v>
      </c>
      <c r="D16" s="10">
        <v>2200000</v>
      </c>
      <c r="E16" s="10">
        <v>350000</v>
      </c>
      <c r="F16" s="10">
        <f t="shared" ref="F16:F23" si="3">D16*20%</f>
        <v>440000</v>
      </c>
      <c r="G16" s="10">
        <f t="shared" ref="G16:G23" si="4">SUM(D16:F16)*12%</f>
        <v>358800</v>
      </c>
      <c r="H16" s="10">
        <f t="shared" ref="H16:H23" si="5">SUM(D16:F16)-G16</f>
        <v>2631200</v>
      </c>
    </row>
    <row r="17" spans="1:8">
      <c r="A17" s="5" t="s">
        <v>137</v>
      </c>
      <c r="B17" s="12" t="s">
        <v>146</v>
      </c>
      <c r="C17" s="12" t="s">
        <v>152</v>
      </c>
      <c r="D17" s="10">
        <v>1800000</v>
      </c>
      <c r="E17" s="10">
        <v>300000</v>
      </c>
      <c r="F17" s="10">
        <f t="shared" si="3"/>
        <v>360000</v>
      </c>
      <c r="G17" s="10">
        <f t="shared" si="4"/>
        <v>295200</v>
      </c>
      <c r="H17" s="10">
        <f t="shared" si="5"/>
        <v>2164800</v>
      </c>
    </row>
    <row r="18" spans="1:8">
      <c r="A18" s="5" t="s">
        <v>138</v>
      </c>
      <c r="B18" s="12" t="s">
        <v>147</v>
      </c>
      <c r="C18" s="12" t="s">
        <v>150</v>
      </c>
      <c r="D18" s="10">
        <v>2600000</v>
      </c>
      <c r="E18" s="10">
        <v>600000</v>
      </c>
      <c r="F18" s="10">
        <f t="shared" si="3"/>
        <v>520000</v>
      </c>
      <c r="G18" s="10">
        <f t="shared" si="4"/>
        <v>446400</v>
      </c>
      <c r="H18" s="10">
        <f t="shared" si="5"/>
        <v>3273600</v>
      </c>
    </row>
    <row r="19" spans="1:8">
      <c r="A19" s="5" t="s">
        <v>139</v>
      </c>
      <c r="B19" s="12" t="s">
        <v>147</v>
      </c>
      <c r="C19" s="12" t="s">
        <v>151</v>
      </c>
      <c r="D19" s="10">
        <v>2200000</v>
      </c>
      <c r="E19" s="10">
        <v>350000</v>
      </c>
      <c r="F19" s="10">
        <f t="shared" si="3"/>
        <v>440000</v>
      </c>
      <c r="G19" s="10">
        <f t="shared" si="4"/>
        <v>358800</v>
      </c>
      <c r="H19" s="10">
        <f t="shared" si="5"/>
        <v>2631200</v>
      </c>
    </row>
    <row r="20" spans="1:8">
      <c r="A20" s="5" t="s">
        <v>140</v>
      </c>
      <c r="B20" s="12" t="s">
        <v>147</v>
      </c>
      <c r="C20" s="12" t="s">
        <v>152</v>
      </c>
      <c r="D20" s="10">
        <v>1700000</v>
      </c>
      <c r="E20" s="10">
        <v>300000</v>
      </c>
      <c r="F20" s="10">
        <f t="shared" si="3"/>
        <v>340000</v>
      </c>
      <c r="G20" s="10">
        <f t="shared" si="4"/>
        <v>280800</v>
      </c>
      <c r="H20" s="10">
        <f t="shared" si="5"/>
        <v>2059200</v>
      </c>
    </row>
    <row r="21" spans="1:8">
      <c r="A21" s="5" t="s">
        <v>141</v>
      </c>
      <c r="B21" s="12" t="s">
        <v>148</v>
      </c>
      <c r="C21" s="12" t="s">
        <v>150</v>
      </c>
      <c r="D21" s="10">
        <v>2500000</v>
      </c>
      <c r="E21" s="10">
        <v>600000</v>
      </c>
      <c r="F21" s="10">
        <f t="shared" si="3"/>
        <v>500000</v>
      </c>
      <c r="G21" s="10">
        <f t="shared" si="4"/>
        <v>432000</v>
      </c>
      <c r="H21" s="10">
        <f t="shared" si="5"/>
        <v>3168000</v>
      </c>
    </row>
    <row r="22" spans="1:8">
      <c r="A22" s="5" t="s">
        <v>142</v>
      </c>
      <c r="B22" s="12" t="s">
        <v>148</v>
      </c>
      <c r="C22" s="12" t="s">
        <v>151</v>
      </c>
      <c r="D22" s="10">
        <v>2300000</v>
      </c>
      <c r="E22" s="10">
        <v>350000</v>
      </c>
      <c r="F22" s="10">
        <f t="shared" si="3"/>
        <v>460000</v>
      </c>
      <c r="G22" s="10">
        <f t="shared" si="4"/>
        <v>373200</v>
      </c>
      <c r="H22" s="10">
        <f t="shared" si="5"/>
        <v>2736800</v>
      </c>
    </row>
    <row r="23" spans="1:8">
      <c r="A23" s="5" t="s">
        <v>149</v>
      </c>
      <c r="B23" s="12" t="s">
        <v>148</v>
      </c>
      <c r="C23" s="12" t="s">
        <v>152</v>
      </c>
      <c r="D23" s="10">
        <v>1800000</v>
      </c>
      <c r="E23" s="10">
        <v>300000</v>
      </c>
      <c r="F23" s="10">
        <f t="shared" si="3"/>
        <v>360000</v>
      </c>
      <c r="G23" s="10">
        <f t="shared" si="4"/>
        <v>295200</v>
      </c>
      <c r="H23" s="10">
        <f t="shared" si="5"/>
        <v>2164800</v>
      </c>
    </row>
    <row r="25" spans="1:8" ht="17.25">
      <c r="A25" s="47" t="s">
        <v>129</v>
      </c>
      <c r="B25" s="47"/>
      <c r="C25" s="47"/>
      <c r="D25" s="47"/>
      <c r="E25" s="47"/>
      <c r="F25" s="47"/>
      <c r="G25" s="47"/>
      <c r="H25" s="47"/>
    </row>
    <row r="26" spans="1:8">
      <c r="A26" s="5" t="s">
        <v>131</v>
      </c>
      <c r="B26" s="5" t="s">
        <v>70</v>
      </c>
      <c r="C26" s="5" t="s">
        <v>132</v>
      </c>
      <c r="D26" s="5" t="s">
        <v>68</v>
      </c>
      <c r="E26" s="5" t="s">
        <v>143</v>
      </c>
      <c r="F26" s="5" t="s">
        <v>144</v>
      </c>
      <c r="G26" s="5" t="s">
        <v>145</v>
      </c>
      <c r="H26" s="5" t="s">
        <v>153</v>
      </c>
    </row>
    <row r="27" spans="1:8">
      <c r="A27" s="5" t="s">
        <v>126</v>
      </c>
      <c r="B27" s="12" t="s">
        <v>146</v>
      </c>
      <c r="C27" s="12" t="s">
        <v>150</v>
      </c>
      <c r="D27" s="10">
        <v>2800000</v>
      </c>
      <c r="E27" s="10">
        <v>650000</v>
      </c>
      <c r="F27" s="10">
        <f>D27*30%</f>
        <v>840000</v>
      </c>
      <c r="G27" s="10">
        <f>SUM(D27:F27)*12%</f>
        <v>514800</v>
      </c>
      <c r="H27" s="10">
        <f>SUM(D27:F27)-G27</f>
        <v>3775200</v>
      </c>
    </row>
    <row r="28" spans="1:8">
      <c r="A28" s="5" t="s">
        <v>136</v>
      </c>
      <c r="B28" s="12" t="s">
        <v>146</v>
      </c>
      <c r="C28" s="12" t="s">
        <v>151</v>
      </c>
      <c r="D28" s="10">
        <v>2200000</v>
      </c>
      <c r="E28" s="10">
        <v>450000</v>
      </c>
      <c r="F28" s="10">
        <f t="shared" ref="F28:F35" si="6">D28*30%</f>
        <v>660000</v>
      </c>
      <c r="G28" s="10">
        <f t="shared" ref="G28:G35" si="7">SUM(D28:F28)*12%</f>
        <v>397200</v>
      </c>
      <c r="H28" s="10">
        <f t="shared" ref="H28:H35" si="8">SUM(D28:F28)-G28</f>
        <v>2912800</v>
      </c>
    </row>
    <row r="29" spans="1:8">
      <c r="A29" s="5" t="s">
        <v>137</v>
      </c>
      <c r="B29" s="12" t="s">
        <v>146</v>
      </c>
      <c r="C29" s="12" t="s">
        <v>152</v>
      </c>
      <c r="D29" s="10">
        <v>1800000</v>
      </c>
      <c r="E29" s="10">
        <v>300000</v>
      </c>
      <c r="F29" s="10">
        <f t="shared" si="6"/>
        <v>540000</v>
      </c>
      <c r="G29" s="10">
        <f t="shared" si="7"/>
        <v>316800</v>
      </c>
      <c r="H29" s="10">
        <f t="shared" si="8"/>
        <v>2323200</v>
      </c>
    </row>
    <row r="30" spans="1:8">
      <c r="A30" s="5" t="s">
        <v>138</v>
      </c>
      <c r="B30" s="12" t="s">
        <v>147</v>
      </c>
      <c r="C30" s="12" t="s">
        <v>150</v>
      </c>
      <c r="D30" s="10">
        <v>2600000</v>
      </c>
      <c r="E30" s="10">
        <v>650000</v>
      </c>
      <c r="F30" s="10">
        <f t="shared" si="6"/>
        <v>780000</v>
      </c>
      <c r="G30" s="10">
        <f t="shared" si="7"/>
        <v>483600</v>
      </c>
      <c r="H30" s="10">
        <f t="shared" si="8"/>
        <v>3546400</v>
      </c>
    </row>
    <row r="31" spans="1:8">
      <c r="A31" s="5" t="s">
        <v>139</v>
      </c>
      <c r="B31" s="12" t="s">
        <v>147</v>
      </c>
      <c r="C31" s="12" t="s">
        <v>151</v>
      </c>
      <c r="D31" s="10">
        <v>2200000</v>
      </c>
      <c r="E31" s="10">
        <v>450000</v>
      </c>
      <c r="F31" s="10">
        <f t="shared" si="6"/>
        <v>660000</v>
      </c>
      <c r="G31" s="10">
        <f t="shared" si="7"/>
        <v>397200</v>
      </c>
      <c r="H31" s="10">
        <f t="shared" si="8"/>
        <v>2912800</v>
      </c>
    </row>
    <row r="32" spans="1:8">
      <c r="A32" s="5" t="s">
        <v>140</v>
      </c>
      <c r="B32" s="12" t="s">
        <v>147</v>
      </c>
      <c r="C32" s="12" t="s">
        <v>152</v>
      </c>
      <c r="D32" s="10">
        <v>1700000</v>
      </c>
      <c r="E32" s="10">
        <v>300000</v>
      </c>
      <c r="F32" s="10">
        <f t="shared" si="6"/>
        <v>510000</v>
      </c>
      <c r="G32" s="10">
        <f t="shared" si="7"/>
        <v>301200</v>
      </c>
      <c r="H32" s="10">
        <f t="shared" si="8"/>
        <v>2208800</v>
      </c>
    </row>
    <row r="33" spans="1:8">
      <c r="A33" s="5" t="s">
        <v>141</v>
      </c>
      <c r="B33" s="12" t="s">
        <v>148</v>
      </c>
      <c r="C33" s="12" t="s">
        <v>150</v>
      </c>
      <c r="D33" s="10">
        <v>2500000</v>
      </c>
      <c r="E33" s="10">
        <v>650000</v>
      </c>
      <c r="F33" s="10">
        <f t="shared" si="6"/>
        <v>750000</v>
      </c>
      <c r="G33" s="10">
        <f t="shared" si="7"/>
        <v>468000</v>
      </c>
      <c r="H33" s="10">
        <f t="shared" si="8"/>
        <v>3432000</v>
      </c>
    </row>
    <row r="34" spans="1:8">
      <c r="A34" s="5" t="s">
        <v>142</v>
      </c>
      <c r="B34" s="12" t="s">
        <v>148</v>
      </c>
      <c r="C34" s="12" t="s">
        <v>151</v>
      </c>
      <c r="D34" s="10">
        <v>2300000</v>
      </c>
      <c r="E34" s="10">
        <v>450000</v>
      </c>
      <c r="F34" s="10">
        <f t="shared" si="6"/>
        <v>690000</v>
      </c>
      <c r="G34" s="10">
        <f t="shared" si="7"/>
        <v>412800</v>
      </c>
      <c r="H34" s="10">
        <f t="shared" si="8"/>
        <v>3027200</v>
      </c>
    </row>
    <row r="35" spans="1:8">
      <c r="A35" s="5" t="s">
        <v>149</v>
      </c>
      <c r="B35" s="12" t="s">
        <v>148</v>
      </c>
      <c r="C35" s="12" t="s">
        <v>152</v>
      </c>
      <c r="D35" s="10">
        <v>1800000</v>
      </c>
      <c r="E35" s="10">
        <v>300000</v>
      </c>
      <c r="F35" s="10">
        <f t="shared" si="6"/>
        <v>540000</v>
      </c>
      <c r="G35" s="10">
        <f t="shared" si="7"/>
        <v>316800</v>
      </c>
      <c r="H35" s="10">
        <f t="shared" si="8"/>
        <v>2323200</v>
      </c>
    </row>
  </sheetData>
  <dataConsolidate function="average" topLabels="1">
    <dataRefs count="3">
      <dataRef ref="A2:H11" sheet="분석작업-2"/>
      <dataRef ref="A14:H23" sheet="분석작업-2"/>
      <dataRef ref="A26:H35" sheet="분석작업-2"/>
    </dataRefs>
  </dataConsolidate>
  <mergeCells count="4">
    <mergeCell ref="A1:H1"/>
    <mergeCell ref="A13:H13"/>
    <mergeCell ref="A25:H25"/>
    <mergeCell ref="J1:O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F11"/>
  <sheetViews>
    <sheetView workbookViewId="0">
      <selection sqref="A1:F1"/>
    </sheetView>
  </sheetViews>
  <sheetFormatPr defaultRowHeight="16.5"/>
  <cols>
    <col min="1" max="1" width="9.25" bestFit="1" customWidth="1"/>
    <col min="2" max="6" width="9" customWidth="1"/>
  </cols>
  <sheetData>
    <row r="1" spans="1:6" ht="20.25">
      <c r="A1" s="46" t="s">
        <v>172</v>
      </c>
      <c r="B1" s="46"/>
      <c r="C1" s="46"/>
      <c r="D1" s="46"/>
      <c r="E1" s="46"/>
      <c r="F1" s="46"/>
    </row>
    <row r="2" spans="1:6">
      <c r="A2" s="36" t="s">
        <v>256</v>
      </c>
      <c r="B2" s="37" t="s">
        <v>257</v>
      </c>
      <c r="C2" s="37" t="s">
        <v>258</v>
      </c>
      <c r="D2" s="37" t="s">
        <v>259</v>
      </c>
      <c r="E2" s="37" t="s">
        <v>260</v>
      </c>
      <c r="F2" s="37" t="s">
        <v>261</v>
      </c>
    </row>
    <row r="3" spans="1:6">
      <c r="A3" s="16" t="s">
        <v>154</v>
      </c>
      <c r="B3" s="12" t="s">
        <v>163</v>
      </c>
      <c r="C3" s="12">
        <v>9</v>
      </c>
      <c r="D3" s="12">
        <v>0</v>
      </c>
      <c r="E3" s="12">
        <v>11</v>
      </c>
      <c r="F3" s="12">
        <f>C3*3+D3</f>
        <v>27</v>
      </c>
    </row>
    <row r="4" spans="1:6">
      <c r="A4" s="16" t="s">
        <v>155</v>
      </c>
      <c r="B4" s="12" t="s">
        <v>164</v>
      </c>
      <c r="C4" s="12">
        <v>7</v>
      </c>
      <c r="D4" s="12">
        <v>1</v>
      </c>
      <c r="E4" s="12">
        <v>12</v>
      </c>
      <c r="F4" s="12">
        <f t="shared" ref="F4:F11" si="0">C4*3+D4</f>
        <v>22</v>
      </c>
    </row>
    <row r="5" spans="1:6">
      <c r="A5" s="16" t="s">
        <v>160</v>
      </c>
      <c r="B5" s="12" t="s">
        <v>165</v>
      </c>
      <c r="C5" s="12">
        <v>5</v>
      </c>
      <c r="D5" s="12">
        <v>2</v>
      </c>
      <c r="E5" s="12">
        <v>13</v>
      </c>
      <c r="F5" s="12">
        <f t="shared" si="0"/>
        <v>17</v>
      </c>
    </row>
    <row r="6" spans="1:6">
      <c r="A6" s="16" t="s">
        <v>157</v>
      </c>
      <c r="B6" s="12" t="s">
        <v>166</v>
      </c>
      <c r="C6" s="12">
        <v>6</v>
      </c>
      <c r="D6" s="12">
        <v>0</v>
      </c>
      <c r="E6" s="12">
        <v>14</v>
      </c>
      <c r="F6" s="12">
        <f t="shared" si="0"/>
        <v>18</v>
      </c>
    </row>
    <row r="7" spans="1:6">
      <c r="A7" s="16" t="s">
        <v>158</v>
      </c>
      <c r="B7" s="12" t="s">
        <v>167</v>
      </c>
      <c r="C7" s="12">
        <v>12</v>
      </c>
      <c r="D7" s="12">
        <v>1</v>
      </c>
      <c r="E7" s="12">
        <v>7</v>
      </c>
      <c r="F7" s="12">
        <f t="shared" si="0"/>
        <v>37</v>
      </c>
    </row>
    <row r="8" spans="1:6">
      <c r="A8" s="16" t="s">
        <v>161</v>
      </c>
      <c r="B8" s="12" t="s">
        <v>168</v>
      </c>
      <c r="C8" s="12">
        <v>11</v>
      </c>
      <c r="D8" s="12">
        <v>0</v>
      </c>
      <c r="E8" s="12">
        <v>9</v>
      </c>
      <c r="F8" s="12">
        <f t="shared" si="0"/>
        <v>33</v>
      </c>
    </row>
    <row r="9" spans="1:6">
      <c r="A9" s="16" t="s">
        <v>156</v>
      </c>
      <c r="B9" s="12" t="s">
        <v>171</v>
      </c>
      <c r="C9" s="12">
        <v>10</v>
      </c>
      <c r="D9" s="12">
        <v>1</v>
      </c>
      <c r="E9" s="12">
        <v>9</v>
      </c>
      <c r="F9" s="12">
        <f t="shared" si="0"/>
        <v>31</v>
      </c>
    </row>
    <row r="10" spans="1:6">
      <c r="A10" s="16" t="s">
        <v>159</v>
      </c>
      <c r="B10" s="12" t="s">
        <v>169</v>
      </c>
      <c r="C10" s="12">
        <v>8</v>
      </c>
      <c r="D10" s="12">
        <v>2</v>
      </c>
      <c r="E10" s="12">
        <v>10</v>
      </c>
      <c r="F10" s="12">
        <f t="shared" si="0"/>
        <v>26</v>
      </c>
    </row>
    <row r="11" spans="1:6">
      <c r="A11" s="16" t="s">
        <v>162</v>
      </c>
      <c r="B11" s="12" t="s">
        <v>170</v>
      </c>
      <c r="C11" s="12">
        <v>9</v>
      </c>
      <c r="D11" s="12">
        <v>1</v>
      </c>
      <c r="E11" s="12">
        <v>10</v>
      </c>
      <c r="F11" s="12">
        <f t="shared" si="0"/>
        <v>28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F8"/>
  <sheetViews>
    <sheetView workbookViewId="0">
      <selection sqref="A1:F1"/>
    </sheetView>
  </sheetViews>
  <sheetFormatPr defaultRowHeight="16.5"/>
  <cols>
    <col min="1" max="1" width="13" bestFit="1" customWidth="1"/>
    <col min="3" max="3" width="11.625" bestFit="1" customWidth="1"/>
    <col min="5" max="5" width="9.375" bestFit="1" customWidth="1"/>
    <col min="6" max="6" width="11.875" bestFit="1" customWidth="1"/>
  </cols>
  <sheetData>
    <row r="1" spans="1:6" ht="20.25">
      <c r="A1" s="48" t="s">
        <v>173</v>
      </c>
      <c r="B1" s="48"/>
      <c r="C1" s="48"/>
      <c r="D1" s="48"/>
      <c r="E1" s="48"/>
      <c r="F1" s="48"/>
    </row>
    <row r="2" spans="1:6">
      <c r="A2" s="5" t="s">
        <v>174</v>
      </c>
      <c r="B2" s="5" t="s">
        <v>175</v>
      </c>
      <c r="C2" s="5" t="s">
        <v>185</v>
      </c>
      <c r="D2" s="5" t="s">
        <v>176</v>
      </c>
      <c r="E2" s="5" t="s">
        <v>177</v>
      </c>
      <c r="F2" s="5" t="s">
        <v>178</v>
      </c>
    </row>
    <row r="3" spans="1:6">
      <c r="A3" s="5" t="s">
        <v>194</v>
      </c>
      <c r="B3" s="5" t="s">
        <v>179</v>
      </c>
      <c r="C3" s="5" t="s">
        <v>186</v>
      </c>
      <c r="D3" s="17">
        <v>162</v>
      </c>
      <c r="E3" s="17">
        <v>180000</v>
      </c>
      <c r="F3" s="17">
        <f>D3*E3</f>
        <v>29160000</v>
      </c>
    </row>
    <row r="4" spans="1:6">
      <c r="A4" s="5" t="s">
        <v>192</v>
      </c>
      <c r="B4" s="5" t="s">
        <v>180</v>
      </c>
      <c r="C4" s="5" t="s">
        <v>187</v>
      </c>
      <c r="D4" s="17">
        <v>295</v>
      </c>
      <c r="E4" s="17">
        <v>75000</v>
      </c>
      <c r="F4" s="17">
        <f t="shared" ref="F4:F8" si="0">D4*E4</f>
        <v>22125000</v>
      </c>
    </row>
    <row r="5" spans="1:6">
      <c r="A5" s="5" t="s">
        <v>196</v>
      </c>
      <c r="B5" s="5" t="s">
        <v>181</v>
      </c>
      <c r="C5" s="5" t="s">
        <v>188</v>
      </c>
      <c r="D5" s="17">
        <v>178</v>
      </c>
      <c r="E5" s="17">
        <v>60000</v>
      </c>
      <c r="F5" s="17">
        <f t="shared" si="0"/>
        <v>10680000</v>
      </c>
    </row>
    <row r="6" spans="1:6">
      <c r="A6" s="5" t="s">
        <v>195</v>
      </c>
      <c r="B6" s="5" t="s">
        <v>184</v>
      </c>
      <c r="C6" s="5" t="s">
        <v>189</v>
      </c>
      <c r="D6" s="17">
        <v>199</v>
      </c>
      <c r="E6" s="17">
        <v>68000</v>
      </c>
      <c r="F6" s="17">
        <f t="shared" si="0"/>
        <v>13532000</v>
      </c>
    </row>
    <row r="7" spans="1:6">
      <c r="A7" s="5" t="s">
        <v>190</v>
      </c>
      <c r="B7" s="5" t="s">
        <v>182</v>
      </c>
      <c r="C7" s="5" t="s">
        <v>191</v>
      </c>
      <c r="D7" s="17">
        <v>184</v>
      </c>
      <c r="E7" s="17">
        <v>42000</v>
      </c>
      <c r="F7" s="17">
        <f t="shared" si="0"/>
        <v>7728000</v>
      </c>
    </row>
    <row r="8" spans="1:6">
      <c r="A8" s="5" t="s">
        <v>197</v>
      </c>
      <c r="B8" s="5" t="s">
        <v>183</v>
      </c>
      <c r="C8" s="5" t="s">
        <v>193</v>
      </c>
      <c r="D8" s="17">
        <v>169</v>
      </c>
      <c r="E8" s="17">
        <v>115000</v>
      </c>
      <c r="F8" s="17">
        <f t="shared" si="0"/>
        <v>19435000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기본작업-3</vt:lpstr>
      <vt:lpstr>계산작업</vt:lpstr>
      <vt:lpstr>시나리오 요약</vt:lpstr>
      <vt:lpstr>분석작업-1</vt:lpstr>
      <vt:lpstr>분석작업-2</vt:lpstr>
      <vt:lpstr>매크로작업</vt:lpstr>
      <vt:lpstr>차트작업</vt:lpstr>
      <vt:lpstr>문구명</vt:lpstr>
      <vt:lpstr>통신요금평균</vt:lpstr>
      <vt:lpstr>할인율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쫑</dc:creator>
  <cp:lastModifiedBy>쫑</cp:lastModifiedBy>
  <dcterms:created xsi:type="dcterms:W3CDTF">2013-03-06T07:37:24Z</dcterms:created>
  <dcterms:modified xsi:type="dcterms:W3CDTF">2013-09-09T07:49:21Z</dcterms:modified>
</cp:coreProperties>
</file>