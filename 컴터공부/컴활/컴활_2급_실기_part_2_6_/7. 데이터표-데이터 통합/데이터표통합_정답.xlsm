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315" windowWidth="14835" windowHeight="4845" activeTab="1"/>
  </bookViews>
  <sheets>
    <sheet name="데이터통합" sheetId="4" r:id="rId1"/>
    <sheet name="데이터표" sheetId="5" r:id="rId2"/>
  </sheets>
  <definedNames>
    <definedName name="HTML_CodePage" hidden="1">949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총비용합계">#REF!</definedName>
    <definedName name="할인율">#REF!</definedName>
  </definedNames>
  <calcPr calcId="125725"/>
</workbook>
</file>

<file path=xl/calcChain.xml><?xml version="1.0" encoding="utf-8"?>
<calcChain xmlns="http://schemas.openxmlformats.org/spreadsheetml/2006/main">
  <c r="C10" i="5"/>
  <c r="C7"/>
</calcChain>
</file>

<file path=xl/sharedStrings.xml><?xml version="1.0" encoding="utf-8"?>
<sst xmlns="http://schemas.openxmlformats.org/spreadsheetml/2006/main" count="52" uniqueCount="22">
  <si>
    <t>외장하드</t>
    <phoneticPr fontId="3" type="noConversion"/>
  </si>
  <si>
    <t>스캐너</t>
    <phoneticPr fontId="3" type="noConversion"/>
  </si>
  <si>
    <t>넷북</t>
    <phoneticPr fontId="3" type="noConversion"/>
  </si>
  <si>
    <t>노트북</t>
    <phoneticPr fontId="3" type="noConversion"/>
  </si>
  <si>
    <t>프린터</t>
    <phoneticPr fontId="3" type="noConversion"/>
  </si>
  <si>
    <t>DVD</t>
    <phoneticPr fontId="3" type="noConversion"/>
  </si>
  <si>
    <t>3월</t>
    <phoneticPr fontId="3" type="noConversion"/>
  </si>
  <si>
    <t>2월</t>
    <phoneticPr fontId="3" type="noConversion"/>
  </si>
  <si>
    <t>1월</t>
    <phoneticPr fontId="3" type="noConversion"/>
  </si>
  <si>
    <t>제품명</t>
    <phoneticPr fontId="3" type="noConversion"/>
  </si>
  <si>
    <t>데스크탑</t>
    <phoneticPr fontId="3" type="noConversion"/>
  </si>
  <si>
    <t>[표3] 부산지역 판매내역</t>
    <phoneticPr fontId="3" type="noConversion"/>
  </si>
  <si>
    <t>[표4] 전국 판매내역</t>
    <phoneticPr fontId="3" type="noConversion"/>
  </si>
  <si>
    <t>[표2] 경기지역 판매내역</t>
    <phoneticPr fontId="3" type="noConversion"/>
  </si>
  <si>
    <t>[표1] 서울지역 판매내역</t>
    <phoneticPr fontId="3" type="noConversion"/>
  </si>
  <si>
    <t>지역별 1/4분기 제품별 판매현황</t>
    <phoneticPr fontId="3" type="noConversion"/>
  </si>
  <si>
    <t>이자율 및 상환기간 변동에 따른 상환액</t>
    <phoneticPr fontId="2" type="noConversion"/>
  </si>
  <si>
    <t>대출금 상환액</t>
    <phoneticPr fontId="2" type="noConversion"/>
  </si>
  <si>
    <t>대출금</t>
    <phoneticPr fontId="2" type="noConversion"/>
  </si>
  <si>
    <t>연이율</t>
    <phoneticPr fontId="2" type="noConversion"/>
  </si>
  <si>
    <t>상환기간(년)</t>
    <phoneticPr fontId="2" type="noConversion"/>
  </si>
  <si>
    <t>상환금액(월)</t>
    <phoneticPr fontId="2" type="noConversion"/>
  </si>
</sst>
</file>

<file path=xl/styles.xml><?xml version="1.0" encoding="utf-8"?>
<styleSheet xmlns="http://schemas.openxmlformats.org/spreadsheetml/2006/main">
  <numFmts count="3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4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sz val="11"/>
      <color theme="1"/>
      <name val="맑은 고딕"/>
      <family val="2"/>
      <charset val="129"/>
      <scheme val="minor"/>
    </font>
    <font>
      <sz val="16"/>
      <color theme="1"/>
      <name val="휴먼엑스포"/>
      <family val="1"/>
      <charset val="129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5" fillId="0" borderId="2" applyNumberFormat="0" applyBorder="0">
      <alignment horizontal="center"/>
    </xf>
    <xf numFmtId="14" fontId="6" fillId="0" borderId="3" applyNumberFormat="0" applyBorder="0" applyAlignment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2" fontId="7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/>
    <xf numFmtId="0" fontId="1" fillId="0" borderId="1" xfId="1" applyBorder="1"/>
    <xf numFmtId="0" fontId="1" fillId="0" borderId="1" xfId="1" applyFill="1" applyBorder="1" applyAlignment="1">
      <alignment horizontal="center"/>
    </xf>
    <xf numFmtId="0" fontId="1" fillId="0" borderId="1" xfId="1" applyBorder="1" applyAlignment="1">
      <alignment horizontal="center"/>
    </xf>
    <xf numFmtId="0" fontId="4" fillId="0" borderId="0" xfId="1" applyFont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2" fontId="0" fillId="0" borderId="1" xfId="8" applyFont="1" applyBorder="1">
      <alignment vertical="center"/>
    </xf>
    <xf numFmtId="9" fontId="0" fillId="0" borderId="1" xfId="0" applyNumberFormat="1" applyBorder="1">
      <alignment vertical="center"/>
    </xf>
    <xf numFmtId="6" fontId="0" fillId="0" borderId="1" xfId="0" applyNumberFormat="1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9">
    <cellStyle name="굴림체" xfId="2"/>
    <cellStyle name="본문" xfId="3"/>
    <cellStyle name="쉼표 [0] 2" xfId="4"/>
    <cellStyle name="쉼표 [0] 2 2" xfId="5"/>
    <cellStyle name="통화 [0]" xfId="8" builtinId="7"/>
    <cellStyle name="통화 [0] 2" xfId="6"/>
    <cellStyle name="표준" xfId="0" builtinId="0"/>
    <cellStyle name="표준 2" xfId="1"/>
    <cellStyle name="표준 2 2" xfId="7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J25"/>
  <sheetViews>
    <sheetView workbookViewId="0">
      <selection activeCell="L18" sqref="L18"/>
    </sheetView>
  </sheetViews>
  <sheetFormatPr defaultRowHeight="13.5"/>
  <cols>
    <col min="1" max="4" width="8.75" style="1" customWidth="1"/>
    <col min="5" max="7" width="9.25" style="1" bestFit="1" customWidth="1"/>
    <col min="8" max="9" width="8.5" style="1" bestFit="1" customWidth="1"/>
    <col min="10" max="16384" width="9" style="1"/>
  </cols>
  <sheetData>
    <row r="1" spans="1:9" ht="18.75">
      <c r="A1" s="5" t="s">
        <v>15</v>
      </c>
      <c r="B1" s="5"/>
      <c r="C1" s="5"/>
      <c r="D1" s="5"/>
      <c r="E1" s="5"/>
      <c r="F1" s="5"/>
      <c r="G1" s="5"/>
      <c r="H1" s="5"/>
      <c r="I1" s="5"/>
    </row>
    <row r="3" spans="1:9">
      <c r="A3" s="1" t="s">
        <v>14</v>
      </c>
    </row>
    <row r="4" spans="1:9">
      <c r="A4" s="4" t="s">
        <v>9</v>
      </c>
      <c r="B4" s="4" t="s">
        <v>8</v>
      </c>
      <c r="C4" s="4" t="s">
        <v>7</v>
      </c>
      <c r="D4" s="4" t="s">
        <v>6</v>
      </c>
    </row>
    <row r="5" spans="1:9">
      <c r="A5" s="4" t="s">
        <v>10</v>
      </c>
      <c r="B5" s="4">
        <v>88</v>
      </c>
      <c r="C5" s="2">
        <v>89</v>
      </c>
      <c r="D5" s="2">
        <v>96</v>
      </c>
    </row>
    <row r="6" spans="1:9">
      <c r="A6" s="4" t="s">
        <v>5</v>
      </c>
      <c r="B6" s="4">
        <v>95</v>
      </c>
      <c r="C6" s="2">
        <v>94</v>
      </c>
      <c r="D6" s="2">
        <v>90</v>
      </c>
    </row>
    <row r="7" spans="1:9">
      <c r="A7" s="4" t="s">
        <v>1</v>
      </c>
      <c r="B7" s="4">
        <v>90</v>
      </c>
      <c r="C7" s="2">
        <v>98</v>
      </c>
      <c r="D7" s="2">
        <v>87</v>
      </c>
    </row>
    <row r="8" spans="1:9">
      <c r="A8" s="4" t="s">
        <v>4</v>
      </c>
      <c r="B8" s="4">
        <v>94</v>
      </c>
      <c r="C8" s="2">
        <v>96</v>
      </c>
      <c r="D8" s="2">
        <v>92</v>
      </c>
    </row>
    <row r="9" spans="1:9">
      <c r="A9" s="4" t="s">
        <v>3</v>
      </c>
      <c r="B9" s="4">
        <v>92</v>
      </c>
      <c r="C9" s="2">
        <v>93</v>
      </c>
      <c r="D9" s="2">
        <v>91</v>
      </c>
    </row>
    <row r="11" spans="1:9">
      <c r="A11" s="1" t="s">
        <v>13</v>
      </c>
    </row>
    <row r="12" spans="1:9">
      <c r="A12" s="4" t="s">
        <v>9</v>
      </c>
      <c r="B12" s="4" t="s">
        <v>8</v>
      </c>
      <c r="C12" s="4" t="s">
        <v>7</v>
      </c>
      <c r="D12" s="4" t="s">
        <v>6</v>
      </c>
    </row>
    <row r="13" spans="1:9">
      <c r="A13" s="4" t="s">
        <v>2</v>
      </c>
      <c r="B13" s="4">
        <v>100</v>
      </c>
      <c r="C13" s="2">
        <v>95</v>
      </c>
      <c r="D13" s="2">
        <v>99</v>
      </c>
    </row>
    <row r="14" spans="1:9">
      <c r="A14" s="4" t="s">
        <v>5</v>
      </c>
      <c r="B14" s="4">
        <v>86</v>
      </c>
      <c r="C14" s="2">
        <v>90</v>
      </c>
      <c r="D14" s="2">
        <v>95</v>
      </c>
    </row>
    <row r="15" spans="1:9">
      <c r="A15" s="4" t="s">
        <v>0</v>
      </c>
      <c r="B15" s="4">
        <v>89</v>
      </c>
      <c r="C15" s="2">
        <v>90</v>
      </c>
      <c r="D15" s="2">
        <v>88</v>
      </c>
    </row>
    <row r="16" spans="1:9">
      <c r="A16" s="4" t="s">
        <v>3</v>
      </c>
      <c r="B16" s="4">
        <v>79</v>
      </c>
      <c r="C16" s="2">
        <v>88</v>
      </c>
      <c r="D16" s="2">
        <v>90</v>
      </c>
    </row>
    <row r="17" spans="1:10">
      <c r="A17" s="4" t="s">
        <v>1</v>
      </c>
      <c r="B17" s="4">
        <v>85</v>
      </c>
      <c r="C17" s="2">
        <v>94</v>
      </c>
      <c r="D17" s="2">
        <v>91</v>
      </c>
      <c r="G17" s="1" t="s">
        <v>12</v>
      </c>
    </row>
    <row r="18" spans="1:10">
      <c r="G18" s="4" t="s">
        <v>9</v>
      </c>
      <c r="H18" s="4" t="s">
        <v>8</v>
      </c>
      <c r="I18" s="4" t="s">
        <v>7</v>
      </c>
      <c r="J18" s="4" t="s">
        <v>6</v>
      </c>
    </row>
    <row r="19" spans="1:10">
      <c r="A19" s="1" t="s">
        <v>11</v>
      </c>
      <c r="G19" s="4" t="s">
        <v>10</v>
      </c>
      <c r="H19" s="2">
        <v>88</v>
      </c>
      <c r="I19" s="2">
        <v>89</v>
      </c>
      <c r="J19" s="2">
        <v>96</v>
      </c>
    </row>
    <row r="20" spans="1:10">
      <c r="A20" s="4" t="s">
        <v>9</v>
      </c>
      <c r="B20" s="4" t="s">
        <v>8</v>
      </c>
      <c r="C20" s="4" t="s">
        <v>7</v>
      </c>
      <c r="D20" s="4" t="s">
        <v>6</v>
      </c>
      <c r="G20" s="4" t="s">
        <v>5</v>
      </c>
      <c r="H20" s="2">
        <v>181</v>
      </c>
      <c r="I20" s="2">
        <v>184</v>
      </c>
      <c r="J20" s="2">
        <v>185</v>
      </c>
    </row>
    <row r="21" spans="1:10">
      <c r="A21" s="4" t="s">
        <v>3</v>
      </c>
      <c r="B21" s="4">
        <v>98</v>
      </c>
      <c r="C21" s="2">
        <v>93</v>
      </c>
      <c r="D21" s="2">
        <v>95</v>
      </c>
      <c r="G21" s="4" t="s">
        <v>1</v>
      </c>
      <c r="H21" s="2">
        <v>266</v>
      </c>
      <c r="I21" s="2">
        <v>285</v>
      </c>
      <c r="J21" s="2">
        <v>276</v>
      </c>
    </row>
    <row r="22" spans="1:10">
      <c r="A22" s="4" t="s">
        <v>4</v>
      </c>
      <c r="B22" s="4">
        <v>85</v>
      </c>
      <c r="C22" s="2">
        <v>89</v>
      </c>
      <c r="D22" s="2">
        <v>90</v>
      </c>
      <c r="G22" s="4" t="s">
        <v>4</v>
      </c>
      <c r="H22" s="2">
        <v>179</v>
      </c>
      <c r="I22" s="2">
        <v>185</v>
      </c>
      <c r="J22" s="2">
        <v>182</v>
      </c>
    </row>
    <row r="23" spans="1:10">
      <c r="A23" s="4" t="s">
        <v>0</v>
      </c>
      <c r="B23" s="4">
        <v>87</v>
      </c>
      <c r="C23" s="2">
        <v>88</v>
      </c>
      <c r="D23" s="2">
        <v>88</v>
      </c>
      <c r="G23" s="4" t="s">
        <v>3</v>
      </c>
      <c r="H23" s="2">
        <v>269</v>
      </c>
      <c r="I23" s="2">
        <v>274</v>
      </c>
      <c r="J23" s="2">
        <v>276</v>
      </c>
    </row>
    <row r="24" spans="1:10">
      <c r="A24" s="4" t="s">
        <v>2</v>
      </c>
      <c r="B24" s="4">
        <v>92</v>
      </c>
      <c r="C24" s="2">
        <v>91</v>
      </c>
      <c r="D24" s="2">
        <v>94</v>
      </c>
      <c r="G24" s="3" t="s">
        <v>2</v>
      </c>
      <c r="H24" s="2">
        <v>192</v>
      </c>
      <c r="I24" s="2">
        <v>186</v>
      </c>
      <c r="J24" s="2">
        <v>193</v>
      </c>
    </row>
    <row r="25" spans="1:10">
      <c r="A25" s="4" t="s">
        <v>1</v>
      </c>
      <c r="B25" s="4">
        <v>91</v>
      </c>
      <c r="C25" s="2">
        <v>93</v>
      </c>
      <c r="D25" s="2">
        <v>98</v>
      </c>
      <c r="G25" s="3" t="s">
        <v>0</v>
      </c>
      <c r="H25" s="2">
        <v>176</v>
      </c>
      <c r="I25" s="2">
        <v>178</v>
      </c>
      <c r="J25" s="2">
        <v>176</v>
      </c>
    </row>
  </sheetData>
  <dataConsolidate leftLabels="1" topLabels="1">
    <dataRefs count="3">
      <dataRef ref="A4:D9" sheet="데이터통합"/>
      <dataRef ref="A12:D17" sheet="데이터통합"/>
      <dataRef ref="A20:D25" sheet="데이터통합"/>
    </dataRefs>
  </dataConsolidate>
  <mergeCells count="1">
    <mergeCell ref="A1:I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B1:H14"/>
  <sheetViews>
    <sheetView tabSelected="1" workbookViewId="0">
      <selection activeCell="J6" sqref="J6"/>
    </sheetView>
  </sheetViews>
  <sheetFormatPr defaultRowHeight="16.5"/>
  <cols>
    <col min="1" max="1" width="3.625" customWidth="1"/>
    <col min="2" max="2" width="12.375" bestFit="1" customWidth="1"/>
    <col min="3" max="3" width="13.5" bestFit="1" customWidth="1"/>
    <col min="4" max="5" width="12.375" bestFit="1" customWidth="1"/>
    <col min="6" max="8" width="10.875" bestFit="1" customWidth="1"/>
  </cols>
  <sheetData>
    <row r="1" spans="2:8" ht="20.25">
      <c r="B1" s="6" t="s">
        <v>16</v>
      </c>
      <c r="C1" s="6"/>
      <c r="D1" s="6"/>
      <c r="E1" s="6"/>
      <c r="F1" s="6"/>
      <c r="G1" s="6"/>
      <c r="H1" s="6"/>
    </row>
    <row r="3" spans="2:8">
      <c r="B3" s="7" t="s">
        <v>17</v>
      </c>
      <c r="C3" s="7"/>
    </row>
    <row r="4" spans="2:8">
      <c r="B4" s="8" t="s">
        <v>18</v>
      </c>
      <c r="C4" s="9">
        <v>30000000</v>
      </c>
    </row>
    <row r="5" spans="2:8">
      <c r="B5" s="8" t="s">
        <v>19</v>
      </c>
      <c r="C5" s="10">
        <v>0.09</v>
      </c>
    </row>
    <row r="6" spans="2:8">
      <c r="B6" s="8" t="s">
        <v>20</v>
      </c>
      <c r="C6" s="8">
        <v>3</v>
      </c>
    </row>
    <row r="7" spans="2:8">
      <c r="B7" s="8" t="s">
        <v>21</v>
      </c>
      <c r="C7" s="11">
        <f>PMT($C$5/12, $C$6*12, -$C$4)</f>
        <v>953991.97979821125</v>
      </c>
    </row>
    <row r="9" spans="2:8">
      <c r="C9" s="12" t="s">
        <v>21</v>
      </c>
      <c r="D9" s="7" t="s">
        <v>20</v>
      </c>
      <c r="E9" s="7"/>
      <c r="F9" s="7"/>
      <c r="G9" s="7"/>
      <c r="H9" s="7"/>
    </row>
    <row r="10" spans="2:8">
      <c r="C10" s="11">
        <f>PMT($C$5/12, $C$6*12, -$C$4)</f>
        <v>953991.97979821125</v>
      </c>
      <c r="D10" s="13">
        <v>1</v>
      </c>
      <c r="E10" s="13">
        <v>2</v>
      </c>
      <c r="F10" s="13">
        <v>3</v>
      </c>
      <c r="G10" s="13">
        <v>4</v>
      </c>
      <c r="H10" s="13">
        <v>5</v>
      </c>
    </row>
    <row r="11" spans="2:8">
      <c r="B11" s="14" t="s">
        <v>19</v>
      </c>
      <c r="C11" s="10">
        <v>7.0000000000000007E-2</v>
      </c>
      <c r="D11" s="9">
        <f t="dataTable" ref="D11:H14" dt2D="1" dtr="1" r1="C6" r2="C5"/>
        <v>2595802.3829441345</v>
      </c>
      <c r="E11" s="9">
        <v>1343177.3730943585</v>
      </c>
      <c r="F11" s="9">
        <v>926312.90596115578</v>
      </c>
      <c r="G11" s="9">
        <v>718387.33987328538</v>
      </c>
      <c r="H11" s="9">
        <v>594035.95621048438</v>
      </c>
    </row>
    <row r="12" spans="2:8">
      <c r="B12" s="14"/>
      <c r="C12" s="10">
        <v>0.08</v>
      </c>
      <c r="D12" s="9">
        <v>2609652.8725626539</v>
      </c>
      <c r="E12" s="9">
        <v>1356818.7436855349</v>
      </c>
      <c r="F12" s="9">
        <v>940090.96384293248</v>
      </c>
      <c r="G12" s="9">
        <v>732387.67024507967</v>
      </c>
      <c r="H12" s="9">
        <v>608291.82865241461</v>
      </c>
    </row>
    <row r="13" spans="2:8">
      <c r="B13" s="14"/>
      <c r="C13" s="10">
        <v>0.09</v>
      </c>
      <c r="D13" s="9">
        <v>2623544.3030976122</v>
      </c>
      <c r="E13" s="9">
        <v>1370542.268375179</v>
      </c>
      <c r="F13" s="9">
        <v>953991.97979821125</v>
      </c>
      <c r="G13" s="9">
        <v>746551.27121801919</v>
      </c>
      <c r="H13" s="9">
        <v>622750.65679061448</v>
      </c>
    </row>
    <row r="14" spans="2:8">
      <c r="B14" s="14"/>
      <c r="C14" s="10">
        <v>0.1</v>
      </c>
      <c r="D14" s="9">
        <v>2637476.6169002973</v>
      </c>
      <c r="E14" s="9">
        <v>1384347.7901255009</v>
      </c>
      <c r="F14" s="9">
        <v>968015.61581512867</v>
      </c>
      <c r="G14" s="9">
        <v>760877.50304241863</v>
      </c>
      <c r="H14" s="9">
        <v>637411.34133805044</v>
      </c>
    </row>
  </sheetData>
  <mergeCells count="4">
    <mergeCell ref="B1:H1"/>
    <mergeCell ref="B3:C3"/>
    <mergeCell ref="D9:H9"/>
    <mergeCell ref="B11:B1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데이터통합</vt:lpstr>
      <vt:lpstr>데이터표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2011-12-03T16:02:05Z</dcterms:created>
  <dcterms:modified xsi:type="dcterms:W3CDTF">2011-12-03T16:45:14Z</dcterms:modified>
</cp:coreProperties>
</file>