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2.xml" ContentType="application/vnd.openxmlformats-officedocument.spreadsheetml.pivotCacheDefinition+xml"/>
  <Override PartName="/xl/connections.xml" ContentType="application/vnd.openxmlformats-officedocument.spreadsheetml.connections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xl/pivotCache/pivotCacheRecords2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360" yWindow="135" windowWidth="16155" windowHeight="8280" activeTab="1"/>
  </bookViews>
  <sheets>
    <sheet name="글보고풀기" sheetId="2" r:id="rId1"/>
    <sheet name="그림보고풀기" sheetId="1" r:id="rId2"/>
    <sheet name="포인트내역2" sheetId="5" r:id="rId3"/>
    <sheet name="Sheet3" sheetId="3" r:id="rId4"/>
  </sheets>
  <calcPr calcId="125725"/>
  <pivotCaches>
    <pivotCache cacheId="5" r:id="rId5"/>
    <pivotCache cacheId="14" r:id="rId6"/>
  </pivotCaches>
</workbook>
</file>

<file path=xl/calcChain.xml><?xml version="1.0" encoding="utf-8"?>
<calcChain xmlns="http://schemas.openxmlformats.org/spreadsheetml/2006/main">
  <c r="I17" i="2"/>
  <c r="I16"/>
  <c r="I15"/>
  <c r="I14"/>
  <c r="I13"/>
  <c r="I12"/>
  <c r="I11"/>
  <c r="I10"/>
  <c r="I9"/>
  <c r="I8"/>
  <c r="I7"/>
  <c r="I6"/>
  <c r="I5"/>
</calcChain>
</file>

<file path=xl/connections.xml><?xml version="1.0" encoding="utf-8"?>
<connections xmlns="http://schemas.openxmlformats.org/spreadsheetml/2006/main">
  <connection id="1" name="MS Access Database_Query" type="1" refreshedVersion="3">
    <dbPr connection="DSN=MS Access Database;DBQ=E:\botemi\botemi\컴활1급\피벗테이블\편의점.mdb;DefaultDir=E:\botemi\botemi\컴활1급\피벗테이블;DriverId=25;FIL=MS Access;MaxBufferSize=2048;PageTimeout=5;" command="SELECT 주문내역.주문일자, 주문내역.거래구분, 주문내역.가격, 주문내역.포인트_x000d__x000a_FROM `E:\botemi\botemi\컴활1급\피벗테이블\편의점.mdb`.주문내역 주문내역"/>
  </connection>
</connections>
</file>

<file path=xl/sharedStrings.xml><?xml version="1.0" encoding="utf-8"?>
<sst xmlns="http://schemas.openxmlformats.org/spreadsheetml/2006/main" count="99" uniqueCount="62">
  <si>
    <t>휴대폰 제조업체 매출현황</t>
    <phoneticPr fontId="4" type="noConversion"/>
  </si>
  <si>
    <t>단위:백만원</t>
    <phoneticPr fontId="4" type="noConversion"/>
  </si>
  <si>
    <t>브랜드명</t>
    <phoneticPr fontId="4" type="noConversion"/>
  </si>
  <si>
    <t>제조업체</t>
    <phoneticPr fontId="4" type="noConversion"/>
  </si>
  <si>
    <t>생산지</t>
    <phoneticPr fontId="4" type="noConversion"/>
  </si>
  <si>
    <t>최신모델</t>
    <phoneticPr fontId="4" type="noConversion"/>
  </si>
  <si>
    <t>2007년</t>
    <phoneticPr fontId="4" type="noConversion"/>
  </si>
  <si>
    <t>2008년</t>
    <phoneticPr fontId="4" type="noConversion"/>
  </si>
  <si>
    <t>2009년</t>
    <phoneticPr fontId="4" type="noConversion"/>
  </si>
  <si>
    <t>2010년</t>
    <phoneticPr fontId="4" type="noConversion"/>
  </si>
  <si>
    <t>평균매출액</t>
    <phoneticPr fontId="4" type="noConversion"/>
  </si>
  <si>
    <t>스카이</t>
    <phoneticPr fontId="4" type="noConversion"/>
  </si>
  <si>
    <t>KS</t>
    <phoneticPr fontId="4" type="noConversion"/>
  </si>
  <si>
    <t>미국</t>
    <phoneticPr fontId="4" type="noConversion"/>
  </si>
  <si>
    <t>IM-7100</t>
    <phoneticPr fontId="4" type="noConversion"/>
  </si>
  <si>
    <t>흐르미</t>
    <phoneticPr fontId="4" type="noConversion"/>
  </si>
  <si>
    <t>NIC</t>
    <phoneticPr fontId="4" type="noConversion"/>
  </si>
  <si>
    <t>일본</t>
    <phoneticPr fontId="4" type="noConversion"/>
  </si>
  <si>
    <t>MS-150</t>
    <phoneticPr fontId="4" type="noConversion"/>
  </si>
  <si>
    <t>멀티규</t>
    <phoneticPr fontId="4" type="noConversion"/>
  </si>
  <si>
    <t xml:space="preserve">SCP-A011 </t>
    <phoneticPr fontId="4" type="noConversion"/>
  </si>
  <si>
    <t>큐텔</t>
    <phoneticPr fontId="4" type="noConversion"/>
  </si>
  <si>
    <t>GLS</t>
    <phoneticPr fontId="4" type="noConversion"/>
  </si>
  <si>
    <t>한국</t>
    <phoneticPr fontId="4" type="noConversion"/>
  </si>
  <si>
    <t>S2</t>
    <phoneticPr fontId="4" type="noConversion"/>
  </si>
  <si>
    <t>레디안</t>
    <phoneticPr fontId="4" type="noConversion"/>
  </si>
  <si>
    <t>SD2100</t>
  </si>
  <si>
    <t>애드콜</t>
    <phoneticPr fontId="4" type="noConversion"/>
  </si>
  <si>
    <t>SAMS</t>
    <phoneticPr fontId="4" type="noConversion"/>
  </si>
  <si>
    <t>E-170</t>
  </si>
  <si>
    <t>콜맨</t>
    <phoneticPr fontId="4" type="noConversion"/>
  </si>
  <si>
    <t>E-2500</t>
    <phoneticPr fontId="4" type="noConversion"/>
  </si>
  <si>
    <t>IM-8100</t>
    <phoneticPr fontId="4" type="noConversion"/>
  </si>
  <si>
    <t xml:space="preserve">SCP-A012 </t>
    <phoneticPr fontId="4" type="noConversion"/>
  </si>
  <si>
    <t>S3</t>
    <phoneticPr fontId="4" type="noConversion"/>
  </si>
  <si>
    <t>SD2101</t>
    <phoneticPr fontId="4" type="noConversion"/>
  </si>
  <si>
    <t>E-171</t>
    <phoneticPr fontId="4" type="noConversion"/>
  </si>
  <si>
    <t>E-2600</t>
    <phoneticPr fontId="4" type="noConversion"/>
  </si>
  <si>
    <t>생산지</t>
  </si>
  <si>
    <t>행 레이블</t>
  </si>
  <si>
    <t>KS</t>
  </si>
  <si>
    <t>SAMS</t>
  </si>
  <si>
    <t>총합계</t>
  </si>
  <si>
    <t>열 레이블</t>
  </si>
  <si>
    <t>스카이</t>
  </si>
  <si>
    <t>콜맨</t>
  </si>
  <si>
    <t>합계 : 2009년</t>
  </si>
  <si>
    <t>전체 합계 : 2009년</t>
  </si>
  <si>
    <t>전체 합계 : 2010년</t>
  </si>
  <si>
    <t>합계 : 2010년</t>
  </si>
  <si>
    <t>미국</t>
  </si>
  <si>
    <t>카드</t>
  </si>
  <si>
    <t>현금</t>
  </si>
  <si>
    <t>쿠폰</t>
  </si>
  <si>
    <t>포인트</t>
  </si>
  <si>
    <t>2008-01-01 - 2008-01-10</t>
  </si>
  <si>
    <t>2008-01-11 - 2008-01-20</t>
  </si>
  <si>
    <t>2008-01-21 - 2008-01-27</t>
  </si>
  <si>
    <t>주문일자</t>
  </si>
  <si>
    <t>거래구분</t>
  </si>
  <si>
    <t>가격</t>
  </si>
  <si>
    <t>가격비율</t>
  </si>
</sst>
</file>

<file path=xl/styles.xml><?xml version="1.0" encoding="utf-8"?>
<styleSheet xmlns="http://schemas.openxmlformats.org/spreadsheetml/2006/main">
  <numFmts count="1">
    <numFmt numFmtId="41" formatCode="_-* #,##0_-;\-* #,##0_-;_-* &quot;-&quot;_-;_-@_-"/>
  </numFmts>
  <fonts count="8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4"/>
      <name val="돋움"/>
      <family val="3"/>
      <charset val="129"/>
    </font>
    <font>
      <sz val="8"/>
      <name val="돋움"/>
      <family val="3"/>
      <charset val="129"/>
    </font>
    <font>
      <sz val="11"/>
      <name val="돋움"/>
      <family val="3"/>
      <charset val="129"/>
    </font>
    <font>
      <b/>
      <sz val="12"/>
      <color indexed="9"/>
      <name val="맑은 고딕"/>
      <family val="2"/>
      <charset val="129"/>
      <scheme val="minor"/>
    </font>
    <font>
      <b/>
      <sz val="11"/>
      <color indexed="9"/>
      <name val="맑은 고딕"/>
      <family val="2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8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8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22">
    <xf numFmtId="0" fontId="0" fillId="0" borderId="0" xfId="0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41" fontId="5" fillId="0" borderId="1" xfId="1" applyFont="1" applyBorder="1" applyAlignment="1">
      <alignment vertical="center"/>
    </xf>
    <xf numFmtId="0" fontId="0" fillId="0" borderId="1" xfId="0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0" fillId="0" borderId="0" xfId="0" applyNumberFormat="1">
      <alignment vertical="center"/>
    </xf>
    <xf numFmtId="41" fontId="0" fillId="0" borderId="0" xfId="0" applyNumberFormat="1">
      <alignment vertical="center"/>
    </xf>
    <xf numFmtId="0" fontId="0" fillId="0" borderId="0" xfId="0" applyAlignment="1">
      <alignment horizontal="left" vertical="center" indent="1"/>
    </xf>
    <xf numFmtId="10" fontId="0" fillId="0" borderId="0" xfId="0" applyNumberFormat="1">
      <alignment vertical="center"/>
    </xf>
    <xf numFmtId="14" fontId="0" fillId="0" borderId="0" xfId="0" applyNumberFormat="1">
      <alignment vertical="center"/>
    </xf>
    <xf numFmtId="0" fontId="6" fillId="3" borderId="2" xfId="0" applyFont="1" applyFill="1" applyBorder="1">
      <alignment vertical="center"/>
    </xf>
    <xf numFmtId="0" fontId="7" fillId="2" borderId="3" xfId="0" applyNumberFormat="1" applyFont="1" applyFill="1" applyBorder="1">
      <alignment vertical="center"/>
    </xf>
    <xf numFmtId="10" fontId="7" fillId="2" borderId="3" xfId="0" applyNumberFormat="1" applyFont="1" applyFill="1" applyBorder="1">
      <alignment vertical="center"/>
    </xf>
    <xf numFmtId="0" fontId="7" fillId="2" borderId="3" xfId="0" applyFont="1" applyFill="1" applyBorder="1" applyAlignment="1">
      <alignment horizontal="left" vertical="center"/>
    </xf>
    <xf numFmtId="0" fontId="6" fillId="2" borderId="0" xfId="0" applyFont="1" applyFill="1" applyAlignment="1">
      <alignment horizontal="left" vertical="center"/>
    </xf>
    <xf numFmtId="0" fontId="6" fillId="2" borderId="0" xfId="0" applyNumberFormat="1" applyFont="1" applyFill="1" applyAlignment="1">
      <alignment horizontal="left" vertical="center"/>
    </xf>
    <xf numFmtId="10" fontId="6" fillId="2" borderId="0" xfId="0" applyNumberFormat="1" applyFont="1" applyFill="1" applyAlignment="1">
      <alignment horizontal="left" vertical="center"/>
    </xf>
    <xf numFmtId="0" fontId="6" fillId="3" borderId="2" xfId="0" applyFont="1" applyFill="1" applyBorder="1" applyAlignment="1">
      <alignment horizontal="right" vertical="center"/>
    </xf>
  </cellXfs>
  <cellStyles count="2">
    <cellStyle name="쉼표 [0]" xfId="1" builtinId="6"/>
    <cellStyle name="표준" xfId="0" builtinId="0"/>
  </cellStyles>
  <dxfs count="1">
    <dxf>
      <numFmt numFmtId="19" formatCode="yyyy/mm/dd"/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calcChain" Target="calcChain.xml"/><Relationship Id="rId5" Type="http://schemas.openxmlformats.org/officeDocument/2006/relationships/pivotCacheDefinition" Target="pivotCache/pivotCacheDefinition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ana" refreshedDate="40895.178791666665" createdVersion="3" refreshedVersion="3" minRefreshableVersion="3" recordCount="13">
  <cacheSource type="worksheet">
    <worksheetSource ref="A4:I17" sheet="글보고풀기"/>
  </cacheSource>
  <cacheFields count="9">
    <cacheField name="브랜드명" numFmtId="0">
      <sharedItems count="7">
        <s v="스카이"/>
        <s v="흐르미"/>
        <s v="멀티규"/>
        <s v="큐텔"/>
        <s v="레디안"/>
        <s v="애드콜"/>
        <s v="콜맨"/>
      </sharedItems>
    </cacheField>
    <cacheField name="제조업체" numFmtId="0">
      <sharedItems count="4">
        <s v="KS"/>
        <s v="NIC"/>
        <s v="GLS"/>
        <s v="SAMS"/>
      </sharedItems>
    </cacheField>
    <cacheField name="생산지" numFmtId="0">
      <sharedItems count="3">
        <s v="미국"/>
        <s v="일본"/>
        <s v="한국"/>
      </sharedItems>
    </cacheField>
    <cacheField name="최신모델" numFmtId="0">
      <sharedItems/>
    </cacheField>
    <cacheField name="2007년" numFmtId="41">
      <sharedItems containsSemiMixedTypes="0" containsString="0" containsNumber="1" containsInteger="1" minValue="0" maxValue="43000"/>
    </cacheField>
    <cacheField name="2008년" numFmtId="41">
      <sharedItems containsSemiMixedTypes="0" containsString="0" containsNumber="1" containsInteger="1" minValue="16000" maxValue="52000"/>
    </cacheField>
    <cacheField name="2009년" numFmtId="41">
      <sharedItems containsSemiMixedTypes="0" containsString="0" containsNumber="1" containsInteger="1" minValue="19000" maxValue="56000"/>
    </cacheField>
    <cacheField name="2010년" numFmtId="41">
      <sharedItems containsSemiMixedTypes="0" containsString="0" containsNumber="1" containsInteger="1" minValue="15000" maxValue="66400"/>
    </cacheField>
    <cacheField name="평균매출액" numFmtId="41">
      <sharedItems containsSemiMixedTypes="0" containsString="0" containsNumber="1" containsInteger="1" minValue="16375" maxValue="49850"/>
    </cacheField>
  </cacheFields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dana" refreshedDate="40895.184159375" createdVersion="3" refreshedVersion="3" minRefreshableVersion="3" recordCount="31">
  <cacheSource type="external" connectionId="1"/>
  <cacheFields count="5">
    <cacheField name="주문일자" numFmtId="0" sqlType="11">
      <sharedItems containsSemiMixedTypes="0" containsNonDate="0" containsDate="1" containsString="0" minDate="2008-01-01T00:00:00" maxDate="2008-01-27T00:00:00" count="10">
        <d v="2008-01-01T00:00:00"/>
        <d v="2008-01-03T00:00:00"/>
        <d v="2008-01-04T00:00:00"/>
        <d v="2008-01-10T00:00:00"/>
        <d v="2008-01-11T00:00:00"/>
        <d v="2008-01-15T00:00:00"/>
        <d v="2008-01-18T00:00:00"/>
        <d v="2008-01-20T00:00:00"/>
        <d v="2008-01-25T00:00:00"/>
        <d v="2008-01-26T00:00:00"/>
      </sharedItems>
      <fieldGroup base="0">
        <rangePr groupBy="days" startDate="2008-01-01T00:00:00" endDate="2008-01-27T00:00:00" groupInterval="10"/>
        <groupItems count="5">
          <s v="&lt;2008-01-01"/>
          <s v="2008-01-01 - 2008-01-10"/>
          <s v="2008-01-11 - 2008-01-20"/>
          <s v="2008-01-21 - 2008-01-27"/>
          <s v="&gt;2008-01-27"/>
        </groupItems>
      </fieldGroup>
    </cacheField>
    <cacheField name="거래구분" numFmtId="0" sqlType="-9">
      <sharedItems count="4">
        <s v="카드"/>
        <s v="현금"/>
        <s v="쿠폰"/>
        <s v="포인트"/>
      </sharedItems>
    </cacheField>
    <cacheField name="가격" numFmtId="0" sqlType="4">
      <sharedItems containsSemiMixedTypes="0" containsString="0" containsNumber="1" containsInteger="1" minValue="0" maxValue="60000" count="16">
        <n v="500"/>
        <n v="200"/>
        <n v="100"/>
        <n v="1000"/>
        <n v="10000"/>
        <n v="2000"/>
        <n v="1500"/>
        <n v="600"/>
        <n v="50"/>
        <n v="0"/>
        <n v="30"/>
        <n v="20000"/>
        <n v="40000"/>
        <n v="30000"/>
        <n v="60000"/>
        <n v="8000"/>
      </sharedItems>
    </cacheField>
    <cacheField name="포인트" numFmtId="0" sqlType="4">
      <sharedItems containsSemiMixedTypes="0" containsString="0" containsNumber="1" containsInteger="1" minValue="-200" maxValue="100" count="15">
        <n v="5"/>
        <n v="2"/>
        <n v="1"/>
        <n v="10"/>
        <n v="100"/>
        <n v="20"/>
        <n v="15"/>
        <n v="6"/>
        <n v="0"/>
        <n v="3"/>
        <n v="40"/>
        <n v="30"/>
        <n v="-200"/>
        <n v="60"/>
        <n v="80"/>
      </sharedItems>
    </cacheField>
    <cacheField name="가격비율" numFmtId="0" formula="가격" databaseField="0"/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3">
  <r>
    <x v="0"/>
    <x v="0"/>
    <x v="0"/>
    <s v="IM-7100"/>
    <n v="20000"/>
    <n v="24000"/>
    <n v="30000"/>
    <n v="34600"/>
    <n v="27150"/>
  </r>
  <r>
    <x v="1"/>
    <x v="1"/>
    <x v="1"/>
    <s v="MS-150"/>
    <n v="16000"/>
    <n v="18600"/>
    <n v="20000"/>
    <n v="24000"/>
    <n v="19650"/>
  </r>
  <r>
    <x v="2"/>
    <x v="1"/>
    <x v="1"/>
    <s v="SCP-A011 "/>
    <n v="12000"/>
    <n v="16000"/>
    <n v="19000"/>
    <n v="18500"/>
    <n v="16375"/>
  </r>
  <r>
    <x v="3"/>
    <x v="2"/>
    <x v="2"/>
    <s v="S2"/>
    <n v="18600"/>
    <n v="23500"/>
    <n v="26400"/>
    <n v="28800"/>
    <n v="24325"/>
  </r>
  <r>
    <x v="4"/>
    <x v="2"/>
    <x v="2"/>
    <s v="SD2100"/>
    <n v="21000"/>
    <n v="30000"/>
    <n v="32000"/>
    <n v="41000"/>
    <n v="31000"/>
  </r>
  <r>
    <x v="5"/>
    <x v="3"/>
    <x v="2"/>
    <s v="E-170"/>
    <n v="35000"/>
    <n v="42000"/>
    <n v="56000"/>
    <n v="66400"/>
    <n v="49850"/>
  </r>
  <r>
    <x v="6"/>
    <x v="3"/>
    <x v="2"/>
    <s v="E-2500"/>
    <n v="0"/>
    <n v="52000"/>
    <n v="26000"/>
    <n v="28400"/>
    <n v="26600"/>
  </r>
  <r>
    <x v="0"/>
    <x v="0"/>
    <x v="2"/>
    <s v="IM-8100"/>
    <n v="0"/>
    <n v="24000"/>
    <n v="26000"/>
    <n v="34000"/>
    <n v="21000"/>
  </r>
  <r>
    <x v="1"/>
    <x v="1"/>
    <x v="1"/>
    <s v="SCP-A012 "/>
    <n v="12000"/>
    <n v="16000"/>
    <n v="19000"/>
    <n v="18500"/>
    <n v="16375"/>
  </r>
  <r>
    <x v="3"/>
    <x v="2"/>
    <x v="2"/>
    <s v="S3"/>
    <n v="23500"/>
    <n v="32400"/>
    <n v="26400"/>
    <n v="23400"/>
    <n v="26425"/>
  </r>
  <r>
    <x v="4"/>
    <x v="2"/>
    <x v="2"/>
    <s v="SD2101"/>
    <n v="32100"/>
    <n v="21000"/>
    <n v="32000"/>
    <n v="32000"/>
    <n v="29275"/>
  </r>
  <r>
    <x v="5"/>
    <x v="3"/>
    <x v="2"/>
    <s v="E-171"/>
    <n v="43000"/>
    <n v="45200"/>
    <n v="32100"/>
    <n v="25000"/>
    <n v="36325"/>
  </r>
  <r>
    <x v="6"/>
    <x v="3"/>
    <x v="0"/>
    <s v="E-2600"/>
    <n v="0"/>
    <n v="32600"/>
    <n v="26000"/>
    <n v="15000"/>
    <n v="1840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1">
  <r>
    <x v="0"/>
    <x v="0"/>
    <x v="0"/>
    <x v="0"/>
  </r>
  <r>
    <x v="0"/>
    <x v="0"/>
    <x v="1"/>
    <x v="1"/>
  </r>
  <r>
    <x v="0"/>
    <x v="0"/>
    <x v="2"/>
    <x v="2"/>
  </r>
  <r>
    <x v="1"/>
    <x v="1"/>
    <x v="3"/>
    <x v="3"/>
  </r>
  <r>
    <x v="1"/>
    <x v="1"/>
    <x v="4"/>
    <x v="4"/>
  </r>
  <r>
    <x v="1"/>
    <x v="1"/>
    <x v="5"/>
    <x v="5"/>
  </r>
  <r>
    <x v="1"/>
    <x v="1"/>
    <x v="6"/>
    <x v="6"/>
  </r>
  <r>
    <x v="1"/>
    <x v="1"/>
    <x v="5"/>
    <x v="5"/>
  </r>
  <r>
    <x v="2"/>
    <x v="0"/>
    <x v="7"/>
    <x v="7"/>
  </r>
  <r>
    <x v="2"/>
    <x v="0"/>
    <x v="8"/>
    <x v="0"/>
  </r>
  <r>
    <x v="3"/>
    <x v="0"/>
    <x v="9"/>
    <x v="8"/>
  </r>
  <r>
    <x v="3"/>
    <x v="0"/>
    <x v="10"/>
    <x v="9"/>
  </r>
  <r>
    <x v="3"/>
    <x v="0"/>
    <x v="3"/>
    <x v="3"/>
  </r>
  <r>
    <x v="4"/>
    <x v="2"/>
    <x v="9"/>
    <x v="8"/>
  </r>
  <r>
    <x v="5"/>
    <x v="1"/>
    <x v="11"/>
    <x v="5"/>
  </r>
  <r>
    <x v="5"/>
    <x v="1"/>
    <x v="12"/>
    <x v="10"/>
  </r>
  <r>
    <x v="5"/>
    <x v="1"/>
    <x v="13"/>
    <x v="11"/>
  </r>
  <r>
    <x v="5"/>
    <x v="2"/>
    <x v="4"/>
    <x v="8"/>
  </r>
  <r>
    <x v="6"/>
    <x v="0"/>
    <x v="4"/>
    <x v="3"/>
  </r>
  <r>
    <x v="6"/>
    <x v="0"/>
    <x v="4"/>
    <x v="3"/>
  </r>
  <r>
    <x v="6"/>
    <x v="3"/>
    <x v="9"/>
    <x v="12"/>
  </r>
  <r>
    <x v="6"/>
    <x v="0"/>
    <x v="12"/>
    <x v="10"/>
  </r>
  <r>
    <x v="7"/>
    <x v="1"/>
    <x v="14"/>
    <x v="13"/>
  </r>
  <r>
    <x v="7"/>
    <x v="1"/>
    <x v="1"/>
    <x v="1"/>
  </r>
  <r>
    <x v="7"/>
    <x v="1"/>
    <x v="4"/>
    <x v="3"/>
  </r>
  <r>
    <x v="8"/>
    <x v="0"/>
    <x v="4"/>
    <x v="3"/>
  </r>
  <r>
    <x v="8"/>
    <x v="0"/>
    <x v="2"/>
    <x v="2"/>
  </r>
  <r>
    <x v="8"/>
    <x v="0"/>
    <x v="7"/>
    <x v="7"/>
  </r>
  <r>
    <x v="8"/>
    <x v="0"/>
    <x v="15"/>
    <x v="14"/>
  </r>
  <r>
    <x v="8"/>
    <x v="0"/>
    <x v="5"/>
    <x v="5"/>
  </r>
  <r>
    <x v="9"/>
    <x v="1"/>
    <x v="9"/>
    <x v="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피벗 테이블1" cacheId="5" dataOnRows="1" applyNumberFormats="0" applyBorderFormats="0" applyFontFormats="0" applyPatternFormats="0" applyAlignmentFormats="0" applyWidthHeightFormats="1" dataCaption="값" updatedVersion="3" minRefreshableVersion="3" showCalcMbrs="0" useAutoFormatting="1" itemPrintTitles="1" createdVersion="3" indent="0" outline="1" outlineData="1" multipleFieldFilters="0">
  <location ref="A21:D30" firstHeaderRow="1" firstDataRow="2" firstDataCol="1" rowPageCount="1" colPageCount="1"/>
  <pivotFields count="9">
    <pivotField axis="axisCol" showAll="0">
      <items count="8">
        <item x="4"/>
        <item x="2"/>
        <item x="0"/>
        <item x="5"/>
        <item x="6"/>
        <item x="3"/>
        <item x="1"/>
        <item t="default"/>
      </items>
    </pivotField>
    <pivotField axis="axisRow" showAll="0">
      <items count="5">
        <item x="2"/>
        <item x="0"/>
        <item x="1"/>
        <item x="3"/>
        <item t="default"/>
      </items>
    </pivotField>
    <pivotField axis="axisPage" showAll="0">
      <items count="4">
        <item x="0"/>
        <item x="1"/>
        <item x="2"/>
        <item t="default"/>
      </items>
    </pivotField>
    <pivotField showAll="0"/>
    <pivotField numFmtId="41" showAll="0"/>
    <pivotField numFmtId="41" showAll="0"/>
    <pivotField dataField="1" numFmtId="41" showAll="0"/>
    <pivotField dataField="1" numFmtId="41" showAll="0"/>
    <pivotField numFmtId="41" showAll="0"/>
  </pivotFields>
  <rowFields count="2">
    <field x="1"/>
    <field x="-2"/>
  </rowFields>
  <rowItems count="8">
    <i>
      <x v="1"/>
    </i>
    <i r="1">
      <x/>
    </i>
    <i r="1" i="1">
      <x v="1"/>
    </i>
    <i>
      <x v="3"/>
    </i>
    <i r="1">
      <x/>
    </i>
    <i r="1" i="1">
      <x v="1"/>
    </i>
    <i t="grand">
      <x/>
    </i>
    <i t="grand" i="1">
      <x/>
    </i>
  </rowItems>
  <colFields count="1">
    <field x="0"/>
  </colFields>
  <colItems count="3">
    <i>
      <x v="2"/>
    </i>
    <i>
      <x v="4"/>
    </i>
    <i t="grand">
      <x/>
    </i>
  </colItems>
  <pageFields count="1">
    <pageField fld="2" item="0" hier="-1"/>
  </pageFields>
  <dataFields count="2">
    <dataField name="합계 : 2009년" fld="6" baseField="0" baseItem="0" numFmtId="41"/>
    <dataField name="합계 : 2010년" fld="7" baseField="0" baseItem="0" numFmtId="41"/>
  </dataField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피벗 테이블2" cacheId="14" autoFormatId="4098" applyNumberFormats="1" applyBorderFormats="1" applyFontFormats="1" applyPatternFormats="1" applyAlignmentFormats="1" applyWidthHeightFormats="1" dataCaption="값" updatedVersion="3" minRefreshableVersion="3" showCalcMbrs="0" useAutoFormatting="1" itemPrintTitles="1" createdVersion="3" indent="0" outline="1" outlineData="1" multipleFieldFilters="0" fieldListSortAscending="1">
  <location ref="B3:E18" firstHeaderRow="0" firstDataRow="1" firstDataCol="1"/>
  <pivotFields count="5">
    <pivotField axis="axisRow" showAll="0" insertBlankRow="1">
      <items count="6">
        <item x="0"/>
        <item x="1"/>
        <item x="2"/>
        <item x="3"/>
        <item x="4"/>
        <item t="default"/>
      </items>
    </pivotField>
    <pivotField axis="axisRow" showAll="0">
      <items count="5">
        <item x="0"/>
        <item x="2"/>
        <item x="3"/>
        <item x="1"/>
        <item t="default"/>
      </items>
    </pivotField>
    <pivotField dataField="1" showAll="0"/>
    <pivotField dataField="1" showAll="0"/>
    <pivotField dataField="1" dragToRow="0" dragToCol="0" dragToPage="0" showAll="0" defaultSubtotal="0"/>
  </pivotFields>
  <rowFields count="2">
    <field x="0"/>
    <field x="1"/>
  </rowFields>
  <rowItems count="15">
    <i>
      <x v="1"/>
    </i>
    <i r="1">
      <x/>
    </i>
    <i r="1">
      <x v="3"/>
    </i>
    <i t="blank">
      <x v="1"/>
    </i>
    <i>
      <x v="2"/>
    </i>
    <i r="1">
      <x/>
    </i>
    <i r="1">
      <x v="1"/>
    </i>
    <i r="1">
      <x v="2"/>
    </i>
    <i r="1">
      <x v="3"/>
    </i>
    <i t="blank">
      <x v="2"/>
    </i>
    <i>
      <x v="3"/>
    </i>
    <i r="1">
      <x/>
    </i>
    <i r="1">
      <x v="3"/>
    </i>
    <i t="blank">
      <x v="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합계 : 가격" fld="2" baseField="0" baseItem="0"/>
    <dataField name="합계 : 포인트" fld="3" baseField="0" baseItem="0"/>
    <dataField name="합계 : 가격비율" fld="4" showDataAs="percentOfTotal" baseField="0" baseItem="0" numFmtId="10"/>
  </dataFields>
  <pivotTableStyleInfo showRowHeaders="1" showColHeaders="1" showRowStripes="0" showColStripes="0" showLastColumn="1"/>
</pivotTableDefinition>
</file>

<file path=xl/tables/table1.xml><?xml version="1.0" encoding="utf-8"?>
<table xmlns="http://schemas.openxmlformats.org/spreadsheetml/2006/main" id="2" name="표2" displayName="표2" ref="A1:D2" totalsRowShown="0">
  <autoFilter ref="A1:D2"/>
  <tableColumns count="4">
    <tableColumn id="1" name="주문일자" dataDxfId="0"/>
    <tableColumn id="2" name="거래구분"/>
    <tableColumn id="3" name="가격"/>
    <tableColumn id="4" name="포인트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I30"/>
  <sheetViews>
    <sheetView topLeftCell="A15" workbookViewId="0">
      <selection activeCell="B24" sqref="B24"/>
    </sheetView>
  </sheetViews>
  <sheetFormatPr defaultRowHeight="16.5"/>
  <cols>
    <col min="1" max="1" width="21" customWidth="1"/>
    <col min="2" max="2" width="11.875" customWidth="1"/>
    <col min="3" max="8" width="9.375" customWidth="1"/>
    <col min="9" max="9" width="10.5" customWidth="1"/>
    <col min="10" max="15" width="14" bestFit="1" customWidth="1"/>
    <col min="16" max="17" width="18.875" bestFit="1" customWidth="1"/>
  </cols>
  <sheetData>
    <row r="1" spans="1:9" ht="18.75">
      <c r="A1" s="6" t="s">
        <v>0</v>
      </c>
      <c r="B1" s="6"/>
      <c r="C1" s="6"/>
      <c r="D1" s="6"/>
      <c r="E1" s="6"/>
      <c r="F1" s="6"/>
      <c r="G1" s="6"/>
      <c r="H1" s="6"/>
      <c r="I1" s="6"/>
    </row>
    <row r="2" spans="1:9">
      <c r="A2" s="1"/>
      <c r="B2" s="1"/>
      <c r="C2" s="1"/>
      <c r="D2" s="1"/>
      <c r="E2" s="1"/>
      <c r="F2" s="1"/>
      <c r="G2" s="1"/>
      <c r="H2" s="1"/>
      <c r="I2" s="1"/>
    </row>
    <row r="3" spans="1:9">
      <c r="A3" s="1"/>
      <c r="B3" s="1"/>
      <c r="C3" s="1"/>
      <c r="D3" s="1"/>
      <c r="E3" s="1"/>
      <c r="F3" s="1"/>
      <c r="G3" s="1"/>
      <c r="H3" s="1"/>
      <c r="I3" s="2" t="s">
        <v>1</v>
      </c>
    </row>
    <row r="4" spans="1:9">
      <c r="A4" s="3" t="s">
        <v>2</v>
      </c>
      <c r="B4" s="3" t="s">
        <v>3</v>
      </c>
      <c r="C4" s="3" t="s">
        <v>4</v>
      </c>
      <c r="D4" s="3" t="s">
        <v>5</v>
      </c>
      <c r="E4" s="3" t="s">
        <v>6</v>
      </c>
      <c r="F4" s="3" t="s">
        <v>7</v>
      </c>
      <c r="G4" s="3" t="s">
        <v>8</v>
      </c>
      <c r="H4" s="3" t="s">
        <v>9</v>
      </c>
      <c r="I4" s="3" t="s">
        <v>10</v>
      </c>
    </row>
    <row r="5" spans="1:9">
      <c r="A5" s="3" t="s">
        <v>11</v>
      </c>
      <c r="B5" s="3" t="s">
        <v>12</v>
      </c>
      <c r="C5" s="3" t="s">
        <v>13</v>
      </c>
      <c r="D5" s="3" t="s">
        <v>14</v>
      </c>
      <c r="E5" s="4">
        <v>20000</v>
      </c>
      <c r="F5" s="4">
        <v>24000</v>
      </c>
      <c r="G5" s="4">
        <v>30000</v>
      </c>
      <c r="H5" s="4">
        <v>34600</v>
      </c>
      <c r="I5" s="4">
        <f t="shared" ref="I5:I17" si="0">(E5+F5+G5+H5)/4</f>
        <v>27150</v>
      </c>
    </row>
    <row r="6" spans="1:9">
      <c r="A6" s="3" t="s">
        <v>15</v>
      </c>
      <c r="B6" s="3" t="s">
        <v>16</v>
      </c>
      <c r="C6" s="3" t="s">
        <v>17</v>
      </c>
      <c r="D6" s="3" t="s">
        <v>18</v>
      </c>
      <c r="E6" s="4">
        <v>16000</v>
      </c>
      <c r="F6" s="4">
        <v>18600</v>
      </c>
      <c r="G6" s="4">
        <v>20000</v>
      </c>
      <c r="H6" s="4">
        <v>24000</v>
      </c>
      <c r="I6" s="4">
        <f t="shared" si="0"/>
        <v>19650</v>
      </c>
    </row>
    <row r="7" spans="1:9">
      <c r="A7" s="3" t="s">
        <v>19</v>
      </c>
      <c r="B7" s="3" t="s">
        <v>16</v>
      </c>
      <c r="C7" s="3" t="s">
        <v>17</v>
      </c>
      <c r="D7" s="3" t="s">
        <v>20</v>
      </c>
      <c r="E7" s="4">
        <v>12000</v>
      </c>
      <c r="F7" s="4">
        <v>16000</v>
      </c>
      <c r="G7" s="4">
        <v>19000</v>
      </c>
      <c r="H7" s="4">
        <v>18500</v>
      </c>
      <c r="I7" s="4">
        <f t="shared" si="0"/>
        <v>16375</v>
      </c>
    </row>
    <row r="8" spans="1:9">
      <c r="A8" s="3" t="s">
        <v>21</v>
      </c>
      <c r="B8" s="3" t="s">
        <v>22</v>
      </c>
      <c r="C8" s="3" t="s">
        <v>23</v>
      </c>
      <c r="D8" s="3" t="s">
        <v>24</v>
      </c>
      <c r="E8" s="4">
        <v>18600</v>
      </c>
      <c r="F8" s="4">
        <v>23500</v>
      </c>
      <c r="G8" s="4">
        <v>26400</v>
      </c>
      <c r="H8" s="4">
        <v>28800</v>
      </c>
      <c r="I8" s="4">
        <f t="shared" si="0"/>
        <v>24325</v>
      </c>
    </row>
    <row r="9" spans="1:9">
      <c r="A9" s="3" t="s">
        <v>25</v>
      </c>
      <c r="B9" s="3" t="s">
        <v>22</v>
      </c>
      <c r="C9" s="3" t="s">
        <v>23</v>
      </c>
      <c r="D9" s="3" t="s">
        <v>26</v>
      </c>
      <c r="E9" s="4">
        <v>21000</v>
      </c>
      <c r="F9" s="4">
        <v>30000</v>
      </c>
      <c r="G9" s="4">
        <v>32000</v>
      </c>
      <c r="H9" s="4">
        <v>41000</v>
      </c>
      <c r="I9" s="4">
        <f t="shared" si="0"/>
        <v>31000</v>
      </c>
    </row>
    <row r="10" spans="1:9">
      <c r="A10" s="3" t="s">
        <v>27</v>
      </c>
      <c r="B10" s="3" t="s">
        <v>28</v>
      </c>
      <c r="C10" s="3" t="s">
        <v>23</v>
      </c>
      <c r="D10" s="3" t="s">
        <v>29</v>
      </c>
      <c r="E10" s="4">
        <v>35000</v>
      </c>
      <c r="F10" s="4">
        <v>42000</v>
      </c>
      <c r="G10" s="4">
        <v>56000</v>
      </c>
      <c r="H10" s="4">
        <v>66400</v>
      </c>
      <c r="I10" s="4">
        <f t="shared" si="0"/>
        <v>49850</v>
      </c>
    </row>
    <row r="11" spans="1:9">
      <c r="A11" s="3" t="s">
        <v>30</v>
      </c>
      <c r="B11" s="3" t="s">
        <v>28</v>
      </c>
      <c r="C11" s="3" t="s">
        <v>23</v>
      </c>
      <c r="D11" s="3" t="s">
        <v>31</v>
      </c>
      <c r="E11" s="4">
        <v>0</v>
      </c>
      <c r="F11" s="4">
        <v>52000</v>
      </c>
      <c r="G11" s="4">
        <v>26000</v>
      </c>
      <c r="H11" s="4">
        <v>28400</v>
      </c>
      <c r="I11" s="4">
        <f t="shared" si="0"/>
        <v>26600</v>
      </c>
    </row>
    <row r="12" spans="1:9">
      <c r="A12" s="3" t="s">
        <v>11</v>
      </c>
      <c r="B12" s="5" t="s">
        <v>12</v>
      </c>
      <c r="C12" s="3" t="s">
        <v>23</v>
      </c>
      <c r="D12" s="3" t="s">
        <v>32</v>
      </c>
      <c r="E12" s="4">
        <v>0</v>
      </c>
      <c r="F12" s="4">
        <v>24000</v>
      </c>
      <c r="G12" s="4">
        <v>26000</v>
      </c>
      <c r="H12" s="4">
        <v>34000</v>
      </c>
      <c r="I12" s="4">
        <f t="shared" si="0"/>
        <v>21000</v>
      </c>
    </row>
    <row r="13" spans="1:9">
      <c r="A13" s="3" t="s">
        <v>15</v>
      </c>
      <c r="B13" s="3" t="s">
        <v>16</v>
      </c>
      <c r="C13" s="3" t="s">
        <v>17</v>
      </c>
      <c r="D13" s="3" t="s">
        <v>33</v>
      </c>
      <c r="E13" s="4">
        <v>12000</v>
      </c>
      <c r="F13" s="4">
        <v>16000</v>
      </c>
      <c r="G13" s="4">
        <v>19000</v>
      </c>
      <c r="H13" s="4">
        <v>18500</v>
      </c>
      <c r="I13" s="4">
        <f t="shared" si="0"/>
        <v>16375</v>
      </c>
    </row>
    <row r="14" spans="1:9">
      <c r="A14" s="3" t="s">
        <v>21</v>
      </c>
      <c r="B14" s="3" t="s">
        <v>22</v>
      </c>
      <c r="C14" s="3" t="s">
        <v>23</v>
      </c>
      <c r="D14" s="3" t="s">
        <v>34</v>
      </c>
      <c r="E14" s="4">
        <v>23500</v>
      </c>
      <c r="F14" s="4">
        <v>32400</v>
      </c>
      <c r="G14" s="4">
        <v>26400</v>
      </c>
      <c r="H14" s="4">
        <v>23400</v>
      </c>
      <c r="I14" s="4">
        <f t="shared" si="0"/>
        <v>26425</v>
      </c>
    </row>
    <row r="15" spans="1:9">
      <c r="A15" s="3" t="s">
        <v>25</v>
      </c>
      <c r="B15" s="3" t="s">
        <v>22</v>
      </c>
      <c r="C15" s="3" t="s">
        <v>23</v>
      </c>
      <c r="D15" s="3" t="s">
        <v>35</v>
      </c>
      <c r="E15" s="4">
        <v>32100</v>
      </c>
      <c r="F15" s="4">
        <v>21000</v>
      </c>
      <c r="G15" s="4">
        <v>32000</v>
      </c>
      <c r="H15" s="4">
        <v>32000</v>
      </c>
      <c r="I15" s="4">
        <f t="shared" si="0"/>
        <v>29275</v>
      </c>
    </row>
    <row r="16" spans="1:9">
      <c r="A16" s="3" t="s">
        <v>27</v>
      </c>
      <c r="B16" s="3" t="s">
        <v>28</v>
      </c>
      <c r="C16" s="3" t="s">
        <v>23</v>
      </c>
      <c r="D16" s="3" t="s">
        <v>36</v>
      </c>
      <c r="E16" s="4">
        <v>43000</v>
      </c>
      <c r="F16" s="4">
        <v>45200</v>
      </c>
      <c r="G16" s="4">
        <v>32100</v>
      </c>
      <c r="H16" s="4">
        <v>25000</v>
      </c>
      <c r="I16" s="4">
        <f t="shared" si="0"/>
        <v>36325</v>
      </c>
    </row>
    <row r="17" spans="1:9">
      <c r="A17" s="3" t="s">
        <v>30</v>
      </c>
      <c r="B17" s="3" t="s">
        <v>28</v>
      </c>
      <c r="C17" s="3" t="s">
        <v>13</v>
      </c>
      <c r="D17" s="3" t="s">
        <v>37</v>
      </c>
      <c r="E17" s="4">
        <v>0</v>
      </c>
      <c r="F17" s="4">
        <v>32600</v>
      </c>
      <c r="G17" s="4">
        <v>26000</v>
      </c>
      <c r="H17" s="4">
        <v>15000</v>
      </c>
      <c r="I17" s="4">
        <f t="shared" si="0"/>
        <v>18400</v>
      </c>
    </row>
    <row r="19" spans="1:9">
      <c r="A19" s="7" t="s">
        <v>38</v>
      </c>
      <c r="B19" t="s">
        <v>50</v>
      </c>
    </row>
    <row r="21" spans="1:9">
      <c r="B21" s="7" t="s">
        <v>43</v>
      </c>
    </row>
    <row r="22" spans="1:9">
      <c r="A22" s="7" t="s">
        <v>39</v>
      </c>
      <c r="B22" t="s">
        <v>44</v>
      </c>
      <c r="C22" t="s">
        <v>45</v>
      </c>
      <c r="D22" t="s">
        <v>42</v>
      </c>
    </row>
    <row r="23" spans="1:9">
      <c r="A23" s="8" t="s">
        <v>40</v>
      </c>
      <c r="B23" s="10"/>
      <c r="C23" s="10"/>
      <c r="D23" s="10"/>
    </row>
    <row r="24" spans="1:9">
      <c r="A24" s="11" t="s">
        <v>46</v>
      </c>
      <c r="B24" s="10">
        <v>30000</v>
      </c>
      <c r="C24" s="10"/>
      <c r="D24" s="10">
        <v>30000</v>
      </c>
    </row>
    <row r="25" spans="1:9">
      <c r="A25" s="11" t="s">
        <v>49</v>
      </c>
      <c r="B25" s="10">
        <v>34600</v>
      </c>
      <c r="C25" s="10"/>
      <c r="D25" s="10">
        <v>34600</v>
      </c>
    </row>
    <row r="26" spans="1:9">
      <c r="A26" s="8" t="s">
        <v>41</v>
      </c>
      <c r="B26" s="10"/>
      <c r="C26" s="10"/>
      <c r="D26" s="10"/>
    </row>
    <row r="27" spans="1:9">
      <c r="A27" s="11" t="s">
        <v>46</v>
      </c>
      <c r="B27" s="10"/>
      <c r="C27" s="10">
        <v>26000</v>
      </c>
      <c r="D27" s="10">
        <v>26000</v>
      </c>
    </row>
    <row r="28" spans="1:9">
      <c r="A28" s="11" t="s">
        <v>49</v>
      </c>
      <c r="B28" s="10"/>
      <c r="C28" s="10">
        <v>15000</v>
      </c>
      <c r="D28" s="10">
        <v>15000</v>
      </c>
    </row>
    <row r="29" spans="1:9">
      <c r="A29" s="8" t="s">
        <v>47</v>
      </c>
      <c r="B29" s="10">
        <v>30000</v>
      </c>
      <c r="C29" s="10">
        <v>26000</v>
      </c>
      <c r="D29" s="10">
        <v>56000</v>
      </c>
    </row>
    <row r="30" spans="1:9">
      <c r="A30" s="8" t="s">
        <v>48</v>
      </c>
      <c r="B30" s="10">
        <v>34600</v>
      </c>
      <c r="C30" s="10">
        <v>15000</v>
      </c>
      <c r="D30" s="10">
        <v>49600</v>
      </c>
    </row>
  </sheetData>
  <mergeCells count="1">
    <mergeCell ref="A1:I1"/>
  </mergeCells>
  <phoneticPr fontId="1" type="noConversion"/>
  <pageMargins left="0.7" right="0.7" top="0.75" bottom="0.75" header="0.3" footer="0.3"/>
  <pageSetup paperSize="9" orientation="portrait" horizontalDpi="300" verticalDpi="300"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B3:E18"/>
  <sheetViews>
    <sheetView tabSelected="1" workbookViewId="0">
      <selection activeCell="D11" sqref="D11"/>
    </sheetView>
  </sheetViews>
  <sheetFormatPr defaultRowHeight="16.5"/>
  <cols>
    <col min="2" max="2" width="28.5" bestFit="1" customWidth="1"/>
    <col min="3" max="3" width="8.5" customWidth="1"/>
    <col min="4" max="4" width="7.75" customWidth="1"/>
    <col min="5" max="5" width="9.75" customWidth="1"/>
    <col min="6" max="6" width="15.25" bestFit="1" customWidth="1"/>
  </cols>
  <sheetData>
    <row r="3" spans="2:5" ht="18" thickBot="1">
      <c r="B3" s="14" t="s">
        <v>39</v>
      </c>
      <c r="C3" s="21" t="s">
        <v>60</v>
      </c>
      <c r="D3" s="21" t="s">
        <v>54</v>
      </c>
      <c r="E3" s="21" t="s">
        <v>61</v>
      </c>
    </row>
    <row r="4" spans="2:5" ht="17.25" thickTop="1">
      <c r="B4" s="17" t="s">
        <v>55</v>
      </c>
      <c r="C4" s="15">
        <v>18980</v>
      </c>
      <c r="D4" s="15">
        <v>197</v>
      </c>
      <c r="E4" s="16">
        <v>7.0327552986512526E-2</v>
      </c>
    </row>
    <row r="5" spans="2:5">
      <c r="B5" s="11" t="s">
        <v>51</v>
      </c>
      <c r="C5" s="9">
        <v>2480</v>
      </c>
      <c r="D5" s="9">
        <v>32</v>
      </c>
      <c r="E5" s="12">
        <v>9.1892693048762405E-3</v>
      </c>
    </row>
    <row r="6" spans="2:5">
      <c r="B6" s="11" t="s">
        <v>52</v>
      </c>
      <c r="C6" s="9">
        <v>16500</v>
      </c>
      <c r="D6" s="9">
        <v>165</v>
      </c>
      <c r="E6" s="12">
        <v>6.1138283681636284E-2</v>
      </c>
    </row>
    <row r="7" spans="2:5">
      <c r="B7" s="8"/>
      <c r="C7" s="9"/>
      <c r="D7" s="9"/>
      <c r="E7" s="12"/>
    </row>
    <row r="8" spans="2:5">
      <c r="B8" s="17" t="s">
        <v>56</v>
      </c>
      <c r="C8" s="15">
        <v>230200</v>
      </c>
      <c r="D8" s="15">
        <v>22</v>
      </c>
      <c r="E8" s="16">
        <v>0.85297169112198012</v>
      </c>
    </row>
    <row r="9" spans="2:5">
      <c r="B9" s="11" t="s">
        <v>51</v>
      </c>
      <c r="C9" s="9">
        <v>60000</v>
      </c>
      <c r="D9" s="9">
        <v>60</v>
      </c>
      <c r="E9" s="12">
        <v>0.22232103156958649</v>
      </c>
    </row>
    <row r="10" spans="2:5">
      <c r="B10" s="11" t="s">
        <v>53</v>
      </c>
      <c r="C10" s="9">
        <v>10000</v>
      </c>
      <c r="D10" s="9">
        <v>0</v>
      </c>
      <c r="E10" s="12">
        <v>3.7053505261597744E-2</v>
      </c>
    </row>
    <row r="11" spans="2:5">
      <c r="B11" s="11" t="s">
        <v>54</v>
      </c>
      <c r="C11" s="9">
        <v>0</v>
      </c>
      <c r="D11" s="9">
        <v>-200</v>
      </c>
      <c r="E11" s="12">
        <v>0</v>
      </c>
    </row>
    <row r="12" spans="2:5">
      <c r="B12" s="11" t="s">
        <v>52</v>
      </c>
      <c r="C12" s="9">
        <v>160200</v>
      </c>
      <c r="D12" s="9">
        <v>162</v>
      </c>
      <c r="E12" s="12">
        <v>0.59359715429079596</v>
      </c>
    </row>
    <row r="13" spans="2:5">
      <c r="B13" s="8"/>
      <c r="C13" s="9"/>
      <c r="D13" s="9"/>
      <c r="E13" s="12"/>
    </row>
    <row r="14" spans="2:5">
      <c r="B14" s="17" t="s">
        <v>57</v>
      </c>
      <c r="C14" s="15">
        <v>20700</v>
      </c>
      <c r="D14" s="15">
        <v>117</v>
      </c>
      <c r="E14" s="16">
        <v>7.6700755891507336E-2</v>
      </c>
    </row>
    <row r="15" spans="2:5">
      <c r="B15" s="11" t="s">
        <v>51</v>
      </c>
      <c r="C15" s="9">
        <v>20700</v>
      </c>
      <c r="D15" s="9">
        <v>117</v>
      </c>
      <c r="E15" s="12">
        <v>7.6700755891507336E-2</v>
      </c>
    </row>
    <row r="16" spans="2:5">
      <c r="B16" s="11" t="s">
        <v>52</v>
      </c>
      <c r="C16" s="9">
        <v>0</v>
      </c>
      <c r="D16" s="9">
        <v>0</v>
      </c>
      <c r="E16" s="12">
        <v>0</v>
      </c>
    </row>
    <row r="17" spans="2:5">
      <c r="B17" s="8"/>
      <c r="C17" s="9"/>
      <c r="D17" s="9"/>
      <c r="E17" s="12"/>
    </row>
    <row r="18" spans="2:5" ht="17.25">
      <c r="B18" s="18" t="s">
        <v>42</v>
      </c>
      <c r="C18" s="19">
        <v>269880</v>
      </c>
      <c r="D18" s="19">
        <v>336</v>
      </c>
      <c r="E18" s="20">
        <v>1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:D2"/>
  <sheetViews>
    <sheetView workbookViewId="0">
      <selection activeCell="D15" sqref="D15"/>
    </sheetView>
  </sheetViews>
  <sheetFormatPr defaultRowHeight="16.5"/>
  <cols>
    <col min="1" max="2" width="10.25" customWidth="1"/>
  </cols>
  <sheetData>
    <row r="1" spans="1:4">
      <c r="A1" t="s">
        <v>58</v>
      </c>
      <c r="B1" t="s">
        <v>59</v>
      </c>
      <c r="C1" t="s">
        <v>60</v>
      </c>
      <c r="D1" t="s">
        <v>54</v>
      </c>
    </row>
    <row r="2" spans="1:4">
      <c r="A2" s="13">
        <v>39465</v>
      </c>
      <c r="B2" t="s">
        <v>54</v>
      </c>
      <c r="C2">
        <v>0</v>
      </c>
      <c r="D2">
        <v>-200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글보고풀기</vt:lpstr>
      <vt:lpstr>그림보고풀기</vt:lpstr>
      <vt:lpstr>포인트내역2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dana</dc:creator>
  <cp:lastModifiedBy>dana</cp:lastModifiedBy>
  <dcterms:created xsi:type="dcterms:W3CDTF">2011-12-03T14:22:14Z</dcterms:created>
  <dcterms:modified xsi:type="dcterms:W3CDTF">2011-12-17T19:39:31Z</dcterms:modified>
</cp:coreProperties>
</file>