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120" yWindow="30" windowWidth="15075" windowHeight="5130"/>
  </bookViews>
  <sheets>
    <sheet name="부분합" sheetId="9" r:id="rId1"/>
    <sheet name="목표값찾기" sheetId="13" r:id="rId2"/>
    <sheet name="시나리오" sheetId="11" r:id="rId3"/>
  </sheets>
  <definedNames>
    <definedName name="HTML_CodePage" hidden="1">949</definedName>
    <definedName name="HTML_Control" hidden="1">{"'팬시점 판매현황(답)'!$B$11:$I$19"}</definedName>
    <definedName name="HTML_Description" hidden="1">""</definedName>
    <definedName name="HTML_Email" hidden="1">""</definedName>
    <definedName name="HTML_Header" hidden="1">""</definedName>
    <definedName name="HTML_LastUpdate" hidden="1">"01-03-11"</definedName>
    <definedName name="HTML_LineAfter" hidden="1">FALSE</definedName>
    <definedName name="HTML_LineBefore" hidden="1">FALSE</definedName>
    <definedName name="HTML_Name" hidden="1">""</definedName>
    <definedName name="HTML_OBDlg2" hidden="1">TRUE</definedName>
    <definedName name="HTML_OBDlg4" hidden="1">TRUE</definedName>
    <definedName name="HTML_OS" hidden="1">0</definedName>
    <definedName name="HTML_PathFile" hidden="1">"C:\WINDOWS\바탕 화면\작업문서\합격다지기5회\합격다지기\1회\MyHTML.htm"</definedName>
    <definedName name="HTML_Title" hidden="1">""</definedName>
    <definedName name="이익금합계">시나리오!$F$11</definedName>
    <definedName name="총비용합계">#REF!</definedName>
    <definedName name="할인율">#REF!</definedName>
    <definedName name="환율">시나리오!$C$13</definedName>
  </definedNames>
  <calcPr calcId="125725"/>
</workbook>
</file>

<file path=xl/calcChain.xml><?xml version="1.0" encoding="utf-8"?>
<calcChain xmlns="http://schemas.openxmlformats.org/spreadsheetml/2006/main">
  <c r="F6" i="11"/>
  <c r="F7"/>
  <c r="F8"/>
  <c r="F9"/>
  <c r="F10"/>
  <c r="F5"/>
  <c r="D6"/>
  <c r="D7"/>
  <c r="D8"/>
  <c r="D9"/>
  <c r="D10"/>
  <c r="D5"/>
  <c r="F11"/>
  <c r="F14" i="13"/>
  <c r="F13"/>
  <c r="F12"/>
  <c r="F11"/>
  <c r="F10"/>
  <c r="F9"/>
  <c r="F8"/>
  <c r="F7"/>
  <c r="F6"/>
  <c r="F5"/>
  <c r="F4"/>
</calcChain>
</file>

<file path=xl/sharedStrings.xml><?xml version="1.0" encoding="utf-8"?>
<sst xmlns="http://schemas.openxmlformats.org/spreadsheetml/2006/main" count="99" uniqueCount="77">
  <si>
    <t>사원별 세금명세서</t>
  </si>
  <si>
    <t>상품코드</t>
  </si>
  <si>
    <t>상품명</t>
  </si>
  <si>
    <t>상품가격</t>
  </si>
  <si>
    <t>이익금</t>
  </si>
  <si>
    <t>현지가격</t>
  </si>
  <si>
    <t>달러환산가격</t>
  </si>
  <si>
    <t>수입가격</t>
  </si>
  <si>
    <t>H-20041</t>
  </si>
  <si>
    <t>햄버거</t>
  </si>
  <si>
    <t>C-20033</t>
  </si>
  <si>
    <t>커피</t>
  </si>
  <si>
    <t>P-19994</t>
  </si>
  <si>
    <t>피자</t>
  </si>
  <si>
    <t>W-20057</t>
  </si>
  <si>
    <t>와인</t>
  </si>
  <si>
    <t>S-19955</t>
  </si>
  <si>
    <t>위스키</t>
  </si>
  <si>
    <t>B-20089</t>
  </si>
  <si>
    <t>바나나</t>
  </si>
  <si>
    <t>합계</t>
  </si>
  <si>
    <t>환율</t>
  </si>
  <si>
    <t>미술/실용아트 강좌</t>
  </si>
  <si>
    <t>강좌명</t>
  </si>
  <si>
    <t>과정</t>
  </si>
  <si>
    <t>요일</t>
  </si>
  <si>
    <t>시간</t>
  </si>
  <si>
    <t>모집인원</t>
  </si>
  <si>
    <t>수강료</t>
  </si>
  <si>
    <t>수채화 정물</t>
  </si>
  <si>
    <t>초급</t>
  </si>
  <si>
    <t>목</t>
  </si>
  <si>
    <t>수채화 풍경</t>
  </si>
  <si>
    <t>중급</t>
  </si>
  <si>
    <t>수</t>
  </si>
  <si>
    <t>회화교실</t>
  </si>
  <si>
    <t>고급</t>
  </si>
  <si>
    <t>뎃생A</t>
  </si>
  <si>
    <t>화</t>
  </si>
  <si>
    <t>뎃생B</t>
  </si>
  <si>
    <t>일러스트레이션</t>
  </si>
  <si>
    <t>홈 일러스트레이션</t>
  </si>
  <si>
    <t>예쁜글씨POP</t>
  </si>
  <si>
    <t>금</t>
  </si>
  <si>
    <t>유화A</t>
  </si>
  <si>
    <t>유화B</t>
  </si>
  <si>
    <t>상공마트 거래 내역서</t>
  </si>
  <si>
    <t>분류</t>
    <phoneticPr fontId="3" type="noConversion"/>
  </si>
  <si>
    <t>상품코드</t>
    <phoneticPr fontId="3" type="noConversion"/>
  </si>
  <si>
    <t>상품명</t>
    <phoneticPr fontId="3" type="noConversion"/>
  </si>
  <si>
    <t>단가</t>
    <phoneticPr fontId="3" type="noConversion"/>
  </si>
  <si>
    <t>판매수량</t>
    <phoneticPr fontId="3" type="noConversion"/>
  </si>
  <si>
    <t>판매금액</t>
    <phoneticPr fontId="3" type="noConversion"/>
  </si>
  <si>
    <t>과일</t>
    <phoneticPr fontId="3" type="noConversion"/>
  </si>
  <si>
    <t>FA-001</t>
    <phoneticPr fontId="3" type="noConversion"/>
  </si>
  <si>
    <t>사과</t>
    <phoneticPr fontId="3" type="noConversion"/>
  </si>
  <si>
    <t>의류</t>
    <phoneticPr fontId="3" type="noConversion"/>
  </si>
  <si>
    <t>WF-001</t>
    <phoneticPr fontId="3" type="noConversion"/>
  </si>
  <si>
    <t>캐주얼</t>
    <phoneticPr fontId="3" type="noConversion"/>
  </si>
  <si>
    <t>FP-001</t>
    <phoneticPr fontId="3" type="noConversion"/>
  </si>
  <si>
    <t>배</t>
    <phoneticPr fontId="3" type="noConversion"/>
  </si>
  <si>
    <t>WF-002</t>
    <phoneticPr fontId="3" type="noConversion"/>
  </si>
  <si>
    <t>여성정장</t>
    <phoneticPr fontId="3" type="noConversion"/>
  </si>
  <si>
    <t>가전</t>
    <phoneticPr fontId="3" type="noConversion"/>
  </si>
  <si>
    <t>HT-001</t>
    <phoneticPr fontId="3" type="noConversion"/>
  </si>
  <si>
    <t>HDTV</t>
    <phoneticPr fontId="3" type="noConversion"/>
  </si>
  <si>
    <t>HC-002</t>
    <phoneticPr fontId="3" type="noConversion"/>
  </si>
  <si>
    <t>홈시어터</t>
    <phoneticPr fontId="3" type="noConversion"/>
  </si>
  <si>
    <t>FA-002</t>
    <phoneticPr fontId="3" type="noConversion"/>
  </si>
  <si>
    <t>복숭아</t>
    <phoneticPr fontId="3" type="noConversion"/>
  </si>
  <si>
    <t>세탁기</t>
    <phoneticPr fontId="3" type="noConversion"/>
  </si>
  <si>
    <t>HT-002</t>
    <phoneticPr fontId="3" type="noConversion"/>
  </si>
  <si>
    <t>냉장</t>
    <phoneticPr fontId="3" type="noConversion"/>
  </si>
  <si>
    <t>FP-002</t>
    <phoneticPr fontId="3" type="noConversion"/>
  </si>
  <si>
    <t>메론</t>
    <phoneticPr fontId="3" type="noConversion"/>
  </si>
  <si>
    <t>WM-001</t>
    <phoneticPr fontId="3" type="noConversion"/>
  </si>
  <si>
    <t>남성정장</t>
    <phoneticPr fontId="3" type="noConversion"/>
  </si>
</sst>
</file>

<file path=xl/styles.xml><?xml version="1.0" encoding="utf-8"?>
<styleSheet xmlns="http://schemas.openxmlformats.org/spreadsheetml/2006/main">
  <numFmts count="3">
    <numFmt numFmtId="42" formatCode="_-&quot;₩&quot;* #,##0_-;\-&quot;₩&quot;* #,##0_-;_-&quot;₩&quot;* &quot;-&quot;_-;_-@_-"/>
    <numFmt numFmtId="41" formatCode="_-* #,##0_-;\-* #,##0_-;_-* &quot;-&quot;_-;_-@_-"/>
    <numFmt numFmtId="176" formatCode="_-* #,##0.0_-;\-* #,##0.0_-;_-* &quot;-&quot;_-;_-@_-"/>
  </numFmts>
  <fonts count="9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name val="굴림체"/>
      <family val="3"/>
      <charset val="129"/>
    </font>
    <font>
      <sz val="11"/>
      <name val="궁서체"/>
      <family val="1"/>
      <charset val="129"/>
    </font>
    <font>
      <b/>
      <sz val="16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  <xf numFmtId="0" fontId="4" fillId="0" borderId="2" applyNumberFormat="0" applyBorder="0">
      <alignment horizontal="center"/>
    </xf>
    <xf numFmtId="14" fontId="5" fillId="0" borderId="3" applyNumberFormat="0" applyBorder="0" applyAlignment="0"/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1" fillId="0" borderId="0" xfId="1"/>
    <xf numFmtId="0" fontId="1" fillId="0" borderId="1" xfId="1" applyBorder="1" applyAlignment="1">
      <alignment horizontal="center" vertical="center"/>
    </xf>
    <xf numFmtId="0" fontId="7" fillId="0" borderId="0" xfId="5" applyFont="1">
      <alignment vertical="center"/>
    </xf>
    <xf numFmtId="0" fontId="7" fillId="0" borderId="0" xfId="5" applyFont="1" applyAlignment="1">
      <alignment horizontal="right" vertical="center"/>
    </xf>
    <xf numFmtId="0" fontId="7" fillId="0" borderId="1" xfId="5" applyFont="1" applyBorder="1" applyAlignment="1">
      <alignment horizontal="center"/>
    </xf>
    <xf numFmtId="0" fontId="7" fillId="0" borderId="6" xfId="5" applyFont="1" applyBorder="1" applyAlignment="1">
      <alignment horizontal="center"/>
    </xf>
    <xf numFmtId="41" fontId="7" fillId="0" borderId="1" xfId="6" applyFont="1" applyBorder="1" applyAlignment="1">
      <alignment horizontal="center" vertical="center"/>
    </xf>
    <xf numFmtId="0" fontId="7" fillId="0" borderId="1" xfId="5" applyNumberFormat="1" applyFont="1" applyBorder="1" applyAlignment="1">
      <alignment horizontal="center" vertical="center"/>
    </xf>
    <xf numFmtId="41" fontId="7" fillId="0" borderId="1" xfId="6" applyFont="1" applyBorder="1" applyAlignment="1">
      <alignment horizontal="center"/>
    </xf>
    <xf numFmtId="176" fontId="7" fillId="0" borderId="6" xfId="6" applyNumberFormat="1" applyFont="1" applyBorder="1" applyAlignment="1">
      <alignment horizontal="center"/>
    </xf>
    <xf numFmtId="41" fontId="7" fillId="0" borderId="1" xfId="6" applyFont="1" applyBorder="1">
      <alignment vertical="center"/>
    </xf>
    <xf numFmtId="41" fontId="7" fillId="0" borderId="7" xfId="6" applyFont="1" applyBorder="1" applyAlignment="1">
      <alignment vertical="center"/>
    </xf>
    <xf numFmtId="176" fontId="7" fillId="0" borderId="7" xfId="6" applyNumberFormat="1" applyFont="1" applyBorder="1" applyAlignment="1">
      <alignment vertical="center"/>
    </xf>
    <xf numFmtId="41" fontId="7" fillId="0" borderId="0" xfId="5" applyNumberFormat="1" applyFont="1" applyBorder="1">
      <alignment vertical="center"/>
    </xf>
    <xf numFmtId="41" fontId="7" fillId="0" borderId="0" xfId="6" applyFont="1" applyBorder="1">
      <alignment vertical="center"/>
    </xf>
    <xf numFmtId="0" fontId="7" fillId="0" borderId="6" xfId="5" applyNumberFormat="1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7" fillId="0" borderId="1" xfId="5" applyFont="1" applyBorder="1" applyAlignment="1">
      <alignment horizontal="center" vertical="center"/>
    </xf>
    <xf numFmtId="20" fontId="7" fillId="0" borderId="1" xfId="6" applyNumberFormat="1" applyFont="1" applyBorder="1" applyAlignment="1">
      <alignment horizontal="center" vertical="center"/>
    </xf>
    <xf numFmtId="0" fontId="1" fillId="0" borderId="1" xfId="1" applyFill="1" applyBorder="1" applyAlignment="1">
      <alignment horizontal="center"/>
    </xf>
    <xf numFmtId="0" fontId="1" fillId="0" borderId="1" xfId="1" applyBorder="1" applyAlignment="1">
      <alignment horizontal="center"/>
    </xf>
    <xf numFmtId="41" fontId="1" fillId="0" borderId="1" xfId="1" applyNumberFormat="1" applyBorder="1" applyAlignment="1">
      <alignment horizontal="center"/>
    </xf>
    <xf numFmtId="41" fontId="1" fillId="0" borderId="1" xfId="1" applyNumberFormat="1" applyBorder="1"/>
    <xf numFmtId="41" fontId="1" fillId="0" borderId="1" xfId="1" applyNumberFormat="1" applyFill="1" applyBorder="1" applyAlignment="1">
      <alignment horizontal="center"/>
    </xf>
    <xf numFmtId="0" fontId="6" fillId="0" borderId="0" xfId="5" applyFont="1" applyAlignment="1">
      <alignment horizontal="center" vertical="center"/>
    </xf>
    <xf numFmtId="0" fontId="1" fillId="0" borderId="0" xfId="1" applyAlignment="1">
      <alignment horizontal="center"/>
    </xf>
    <xf numFmtId="0" fontId="7" fillId="0" borderId="1" xfId="5" applyFont="1" applyBorder="1" applyAlignment="1">
      <alignment horizontal="center" vertical="center"/>
    </xf>
    <xf numFmtId="0" fontId="6" fillId="0" borderId="0" xfId="5" applyFont="1" applyBorder="1" applyAlignment="1">
      <alignment horizontal="center"/>
    </xf>
    <xf numFmtId="0" fontId="7" fillId="0" borderId="4" xfId="5" applyNumberFormat="1" applyFont="1" applyBorder="1" applyAlignment="1">
      <alignment horizontal="center" vertical="center"/>
    </xf>
    <xf numFmtId="0" fontId="7" fillId="0" borderId="5" xfId="5" applyNumberFormat="1" applyFont="1" applyBorder="1" applyAlignment="1">
      <alignment horizontal="center" vertical="center"/>
    </xf>
  </cellXfs>
  <cellStyles count="8">
    <cellStyle name="굴림체" xfId="3"/>
    <cellStyle name="본문" xfId="4"/>
    <cellStyle name="쉼표 [0] 2" xfId="2"/>
    <cellStyle name="쉼표 [0] 2 2" xfId="6"/>
    <cellStyle name="통화 [0] 2" xfId="7"/>
    <cellStyle name="표준" xfId="0" builtinId="0"/>
    <cellStyle name="표준 2" xfId="1"/>
    <cellStyle name="표준 2 2" xf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F14"/>
  <sheetViews>
    <sheetView tabSelected="1" workbookViewId="0">
      <selection activeCell="G9" sqref="G9"/>
    </sheetView>
  </sheetViews>
  <sheetFormatPr defaultRowHeight="16.5"/>
  <cols>
    <col min="1" max="1" width="18.75" customWidth="1"/>
    <col min="2" max="6" width="9.5" customWidth="1"/>
  </cols>
  <sheetData>
    <row r="1" spans="1:6" ht="26.25">
      <c r="A1" s="25" t="s">
        <v>22</v>
      </c>
      <c r="B1" s="25"/>
      <c r="C1" s="25"/>
      <c r="D1" s="25"/>
      <c r="E1" s="25"/>
      <c r="F1" s="25"/>
    </row>
    <row r="2" spans="1:6">
      <c r="A2" s="17"/>
      <c r="B2" s="17"/>
      <c r="C2" s="17"/>
      <c r="D2" s="17"/>
      <c r="E2" s="17"/>
      <c r="F2" s="17"/>
    </row>
    <row r="3" spans="1:6">
      <c r="A3" s="8" t="s">
        <v>23</v>
      </c>
      <c r="B3" s="8" t="s">
        <v>24</v>
      </c>
      <c r="C3" s="8" t="s">
        <v>25</v>
      </c>
      <c r="D3" s="18" t="s">
        <v>26</v>
      </c>
      <c r="E3" s="18" t="s">
        <v>27</v>
      </c>
      <c r="F3" s="18" t="s">
        <v>28</v>
      </c>
    </row>
    <row r="4" spans="1:6">
      <c r="A4" s="8" t="s">
        <v>39</v>
      </c>
      <c r="B4" s="8" t="s">
        <v>36</v>
      </c>
      <c r="C4" s="8" t="s">
        <v>31</v>
      </c>
      <c r="D4" s="19">
        <v>0.79166666666666663</v>
      </c>
      <c r="E4" s="7">
        <v>20</v>
      </c>
      <c r="F4" s="11">
        <v>70000</v>
      </c>
    </row>
    <row r="5" spans="1:6">
      <c r="A5" s="8" t="s">
        <v>37</v>
      </c>
      <c r="B5" s="8" t="s">
        <v>33</v>
      </c>
      <c r="C5" s="8" t="s">
        <v>38</v>
      </c>
      <c r="D5" s="19">
        <v>0.6875</v>
      </c>
      <c r="E5" s="7">
        <v>25</v>
      </c>
      <c r="F5" s="11">
        <v>65000</v>
      </c>
    </row>
    <row r="6" spans="1:6">
      <c r="A6" s="8" t="s">
        <v>42</v>
      </c>
      <c r="B6" s="8" t="s">
        <v>36</v>
      </c>
      <c r="C6" s="8" t="s">
        <v>43</v>
      </c>
      <c r="D6" s="19">
        <v>0.66666666666666663</v>
      </c>
      <c r="E6" s="7">
        <v>15</v>
      </c>
      <c r="F6" s="11">
        <v>90000</v>
      </c>
    </row>
    <row r="7" spans="1:6">
      <c r="A7" s="8" t="s">
        <v>35</v>
      </c>
      <c r="B7" s="8" t="s">
        <v>36</v>
      </c>
      <c r="C7" s="8" t="s">
        <v>34</v>
      </c>
      <c r="D7" s="19">
        <v>0.625</v>
      </c>
      <c r="E7" s="7">
        <v>15</v>
      </c>
      <c r="F7" s="11">
        <v>60000</v>
      </c>
    </row>
    <row r="8" spans="1:6">
      <c r="A8" s="8" t="s">
        <v>44</v>
      </c>
      <c r="B8" s="8" t="s">
        <v>30</v>
      </c>
      <c r="C8" s="8" t="s">
        <v>38</v>
      </c>
      <c r="D8" s="19">
        <v>0.5</v>
      </c>
      <c r="E8" s="7">
        <v>12</v>
      </c>
      <c r="F8" s="11">
        <v>75000</v>
      </c>
    </row>
    <row r="9" spans="1:6">
      <c r="A9" s="8" t="s">
        <v>32</v>
      </c>
      <c r="B9" s="8" t="s">
        <v>33</v>
      </c>
      <c r="C9" s="8" t="s">
        <v>34</v>
      </c>
      <c r="D9" s="19">
        <v>0.5</v>
      </c>
      <c r="E9" s="7">
        <v>12</v>
      </c>
      <c r="F9" s="11">
        <v>80000</v>
      </c>
    </row>
    <row r="10" spans="1:6">
      <c r="A10" s="8" t="s">
        <v>40</v>
      </c>
      <c r="B10" s="8" t="s">
        <v>30</v>
      </c>
      <c r="C10" s="8" t="s">
        <v>31</v>
      </c>
      <c r="D10" s="19">
        <v>0.41666666666666669</v>
      </c>
      <c r="E10" s="7">
        <v>30</v>
      </c>
      <c r="F10" s="11">
        <v>85000</v>
      </c>
    </row>
    <row r="11" spans="1:6">
      <c r="A11" s="8" t="s">
        <v>41</v>
      </c>
      <c r="B11" s="8" t="s">
        <v>33</v>
      </c>
      <c r="C11" s="8" t="s">
        <v>38</v>
      </c>
      <c r="D11" s="19">
        <v>0.41666666666666669</v>
      </c>
      <c r="E11" s="7">
        <v>22</v>
      </c>
      <c r="F11" s="11">
        <v>85000</v>
      </c>
    </row>
    <row r="12" spans="1:6">
      <c r="A12" s="8" t="s">
        <v>29</v>
      </c>
      <c r="B12" s="8" t="s">
        <v>30</v>
      </c>
      <c r="C12" s="8" t="s">
        <v>31</v>
      </c>
      <c r="D12" s="19">
        <v>0.375</v>
      </c>
      <c r="E12" s="7">
        <v>10</v>
      </c>
      <c r="F12" s="11">
        <v>75000</v>
      </c>
    </row>
    <row r="13" spans="1:6">
      <c r="A13" s="8" t="s">
        <v>45</v>
      </c>
      <c r="B13" s="8" t="s">
        <v>33</v>
      </c>
      <c r="C13" s="8" t="s">
        <v>43</v>
      </c>
      <c r="D13" s="19">
        <v>0.375</v>
      </c>
      <c r="E13" s="7">
        <v>10</v>
      </c>
      <c r="F13" s="11">
        <v>80000</v>
      </c>
    </row>
    <row r="14" spans="1:6">
      <c r="A14" s="17"/>
      <c r="B14" s="17"/>
      <c r="C14" s="17"/>
      <c r="D14" s="17"/>
      <c r="E14" s="17"/>
      <c r="F14" s="17"/>
    </row>
  </sheetData>
  <sortState ref="A4:F13">
    <sortCondition descending="1" ref="D4:D13"/>
  </sortState>
  <mergeCells count="1">
    <mergeCell ref="A1:F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F14"/>
  <sheetViews>
    <sheetView workbookViewId="0">
      <selection activeCell="F10" sqref="F10"/>
    </sheetView>
  </sheetViews>
  <sheetFormatPr defaultRowHeight="13.5"/>
  <cols>
    <col min="1" max="3" width="9" style="1"/>
    <col min="4" max="4" width="13" style="1" bestFit="1" customWidth="1"/>
    <col min="5" max="5" width="9" style="1"/>
    <col min="6" max="6" width="14.25" style="1" bestFit="1" customWidth="1"/>
    <col min="7" max="259" width="9" style="1"/>
    <col min="260" max="260" width="13" style="1" bestFit="1" customWidth="1"/>
    <col min="261" max="261" width="9" style="1"/>
    <col min="262" max="262" width="14.25" style="1" bestFit="1" customWidth="1"/>
    <col min="263" max="515" width="9" style="1"/>
    <col min="516" max="516" width="13" style="1" bestFit="1" customWidth="1"/>
    <col min="517" max="517" width="9" style="1"/>
    <col min="518" max="518" width="14.25" style="1" bestFit="1" customWidth="1"/>
    <col min="519" max="771" width="9" style="1"/>
    <col min="772" max="772" width="13" style="1" bestFit="1" customWidth="1"/>
    <col min="773" max="773" width="9" style="1"/>
    <col min="774" max="774" width="14.25" style="1" bestFit="1" customWidth="1"/>
    <col min="775" max="1027" width="9" style="1"/>
    <col min="1028" max="1028" width="13" style="1" bestFit="1" customWidth="1"/>
    <col min="1029" max="1029" width="9" style="1"/>
    <col min="1030" max="1030" width="14.25" style="1" bestFit="1" customWidth="1"/>
    <col min="1031" max="1283" width="9" style="1"/>
    <col min="1284" max="1284" width="13" style="1" bestFit="1" customWidth="1"/>
    <col min="1285" max="1285" width="9" style="1"/>
    <col min="1286" max="1286" width="14.25" style="1" bestFit="1" customWidth="1"/>
    <col min="1287" max="1539" width="9" style="1"/>
    <col min="1540" max="1540" width="13" style="1" bestFit="1" customWidth="1"/>
    <col min="1541" max="1541" width="9" style="1"/>
    <col min="1542" max="1542" width="14.25" style="1" bestFit="1" customWidth="1"/>
    <col min="1543" max="1795" width="9" style="1"/>
    <col min="1796" max="1796" width="13" style="1" bestFit="1" customWidth="1"/>
    <col min="1797" max="1797" width="9" style="1"/>
    <col min="1798" max="1798" width="14.25" style="1" bestFit="1" customWidth="1"/>
    <col min="1799" max="2051" width="9" style="1"/>
    <col min="2052" max="2052" width="13" style="1" bestFit="1" customWidth="1"/>
    <col min="2053" max="2053" width="9" style="1"/>
    <col min="2054" max="2054" width="14.25" style="1" bestFit="1" customWidth="1"/>
    <col min="2055" max="2307" width="9" style="1"/>
    <col min="2308" max="2308" width="13" style="1" bestFit="1" customWidth="1"/>
    <col min="2309" max="2309" width="9" style="1"/>
    <col min="2310" max="2310" width="14.25" style="1" bestFit="1" customWidth="1"/>
    <col min="2311" max="2563" width="9" style="1"/>
    <col min="2564" max="2564" width="13" style="1" bestFit="1" customWidth="1"/>
    <col min="2565" max="2565" width="9" style="1"/>
    <col min="2566" max="2566" width="14.25" style="1" bestFit="1" customWidth="1"/>
    <col min="2567" max="2819" width="9" style="1"/>
    <col min="2820" max="2820" width="13" style="1" bestFit="1" customWidth="1"/>
    <col min="2821" max="2821" width="9" style="1"/>
    <col min="2822" max="2822" width="14.25" style="1" bestFit="1" customWidth="1"/>
    <col min="2823" max="3075" width="9" style="1"/>
    <col min="3076" max="3076" width="13" style="1" bestFit="1" customWidth="1"/>
    <col min="3077" max="3077" width="9" style="1"/>
    <col min="3078" max="3078" width="14.25" style="1" bestFit="1" customWidth="1"/>
    <col min="3079" max="3331" width="9" style="1"/>
    <col min="3332" max="3332" width="13" style="1" bestFit="1" customWidth="1"/>
    <col min="3333" max="3333" width="9" style="1"/>
    <col min="3334" max="3334" width="14.25" style="1" bestFit="1" customWidth="1"/>
    <col min="3335" max="3587" width="9" style="1"/>
    <col min="3588" max="3588" width="13" style="1" bestFit="1" customWidth="1"/>
    <col min="3589" max="3589" width="9" style="1"/>
    <col min="3590" max="3590" width="14.25" style="1" bestFit="1" customWidth="1"/>
    <col min="3591" max="3843" width="9" style="1"/>
    <col min="3844" max="3844" width="13" style="1" bestFit="1" customWidth="1"/>
    <col min="3845" max="3845" width="9" style="1"/>
    <col min="3846" max="3846" width="14.25" style="1" bestFit="1" customWidth="1"/>
    <col min="3847" max="4099" width="9" style="1"/>
    <col min="4100" max="4100" width="13" style="1" bestFit="1" customWidth="1"/>
    <col min="4101" max="4101" width="9" style="1"/>
    <col min="4102" max="4102" width="14.25" style="1" bestFit="1" customWidth="1"/>
    <col min="4103" max="4355" width="9" style="1"/>
    <col min="4356" max="4356" width="13" style="1" bestFit="1" customWidth="1"/>
    <col min="4357" max="4357" width="9" style="1"/>
    <col min="4358" max="4358" width="14.25" style="1" bestFit="1" customWidth="1"/>
    <col min="4359" max="4611" width="9" style="1"/>
    <col min="4612" max="4612" width="13" style="1" bestFit="1" customWidth="1"/>
    <col min="4613" max="4613" width="9" style="1"/>
    <col min="4614" max="4614" width="14.25" style="1" bestFit="1" customWidth="1"/>
    <col min="4615" max="4867" width="9" style="1"/>
    <col min="4868" max="4868" width="13" style="1" bestFit="1" customWidth="1"/>
    <col min="4869" max="4869" width="9" style="1"/>
    <col min="4870" max="4870" width="14.25" style="1" bestFit="1" customWidth="1"/>
    <col min="4871" max="5123" width="9" style="1"/>
    <col min="5124" max="5124" width="13" style="1" bestFit="1" customWidth="1"/>
    <col min="5125" max="5125" width="9" style="1"/>
    <col min="5126" max="5126" width="14.25" style="1" bestFit="1" customWidth="1"/>
    <col min="5127" max="5379" width="9" style="1"/>
    <col min="5380" max="5380" width="13" style="1" bestFit="1" customWidth="1"/>
    <col min="5381" max="5381" width="9" style="1"/>
    <col min="5382" max="5382" width="14.25" style="1" bestFit="1" customWidth="1"/>
    <col min="5383" max="5635" width="9" style="1"/>
    <col min="5636" max="5636" width="13" style="1" bestFit="1" customWidth="1"/>
    <col min="5637" max="5637" width="9" style="1"/>
    <col min="5638" max="5638" width="14.25" style="1" bestFit="1" customWidth="1"/>
    <col min="5639" max="5891" width="9" style="1"/>
    <col min="5892" max="5892" width="13" style="1" bestFit="1" customWidth="1"/>
    <col min="5893" max="5893" width="9" style="1"/>
    <col min="5894" max="5894" width="14.25" style="1" bestFit="1" customWidth="1"/>
    <col min="5895" max="6147" width="9" style="1"/>
    <col min="6148" max="6148" width="13" style="1" bestFit="1" customWidth="1"/>
    <col min="6149" max="6149" width="9" style="1"/>
    <col min="6150" max="6150" width="14.25" style="1" bestFit="1" customWidth="1"/>
    <col min="6151" max="6403" width="9" style="1"/>
    <col min="6404" max="6404" width="13" style="1" bestFit="1" customWidth="1"/>
    <col min="6405" max="6405" width="9" style="1"/>
    <col min="6406" max="6406" width="14.25" style="1" bestFit="1" customWidth="1"/>
    <col min="6407" max="6659" width="9" style="1"/>
    <col min="6660" max="6660" width="13" style="1" bestFit="1" customWidth="1"/>
    <col min="6661" max="6661" width="9" style="1"/>
    <col min="6662" max="6662" width="14.25" style="1" bestFit="1" customWidth="1"/>
    <col min="6663" max="6915" width="9" style="1"/>
    <col min="6916" max="6916" width="13" style="1" bestFit="1" customWidth="1"/>
    <col min="6917" max="6917" width="9" style="1"/>
    <col min="6918" max="6918" width="14.25" style="1" bestFit="1" customWidth="1"/>
    <col min="6919" max="7171" width="9" style="1"/>
    <col min="7172" max="7172" width="13" style="1" bestFit="1" customWidth="1"/>
    <col min="7173" max="7173" width="9" style="1"/>
    <col min="7174" max="7174" width="14.25" style="1" bestFit="1" customWidth="1"/>
    <col min="7175" max="7427" width="9" style="1"/>
    <col min="7428" max="7428" width="13" style="1" bestFit="1" customWidth="1"/>
    <col min="7429" max="7429" width="9" style="1"/>
    <col min="7430" max="7430" width="14.25" style="1" bestFit="1" customWidth="1"/>
    <col min="7431" max="7683" width="9" style="1"/>
    <col min="7684" max="7684" width="13" style="1" bestFit="1" customWidth="1"/>
    <col min="7685" max="7685" width="9" style="1"/>
    <col min="7686" max="7686" width="14.25" style="1" bestFit="1" customWidth="1"/>
    <col min="7687" max="7939" width="9" style="1"/>
    <col min="7940" max="7940" width="13" style="1" bestFit="1" customWidth="1"/>
    <col min="7941" max="7941" width="9" style="1"/>
    <col min="7942" max="7942" width="14.25" style="1" bestFit="1" customWidth="1"/>
    <col min="7943" max="8195" width="9" style="1"/>
    <col min="8196" max="8196" width="13" style="1" bestFit="1" customWidth="1"/>
    <col min="8197" max="8197" width="9" style="1"/>
    <col min="8198" max="8198" width="14.25" style="1" bestFit="1" customWidth="1"/>
    <col min="8199" max="8451" width="9" style="1"/>
    <col min="8452" max="8452" width="13" style="1" bestFit="1" customWidth="1"/>
    <col min="8453" max="8453" width="9" style="1"/>
    <col min="8454" max="8454" width="14.25" style="1" bestFit="1" customWidth="1"/>
    <col min="8455" max="8707" width="9" style="1"/>
    <col min="8708" max="8708" width="13" style="1" bestFit="1" customWidth="1"/>
    <col min="8709" max="8709" width="9" style="1"/>
    <col min="8710" max="8710" width="14.25" style="1" bestFit="1" customWidth="1"/>
    <col min="8711" max="8963" width="9" style="1"/>
    <col min="8964" max="8964" width="13" style="1" bestFit="1" customWidth="1"/>
    <col min="8965" max="8965" width="9" style="1"/>
    <col min="8966" max="8966" width="14.25" style="1" bestFit="1" customWidth="1"/>
    <col min="8967" max="9219" width="9" style="1"/>
    <col min="9220" max="9220" width="13" style="1" bestFit="1" customWidth="1"/>
    <col min="9221" max="9221" width="9" style="1"/>
    <col min="9222" max="9222" width="14.25" style="1" bestFit="1" customWidth="1"/>
    <col min="9223" max="9475" width="9" style="1"/>
    <col min="9476" max="9476" width="13" style="1" bestFit="1" customWidth="1"/>
    <col min="9477" max="9477" width="9" style="1"/>
    <col min="9478" max="9478" width="14.25" style="1" bestFit="1" customWidth="1"/>
    <col min="9479" max="9731" width="9" style="1"/>
    <col min="9732" max="9732" width="13" style="1" bestFit="1" customWidth="1"/>
    <col min="9733" max="9733" width="9" style="1"/>
    <col min="9734" max="9734" width="14.25" style="1" bestFit="1" customWidth="1"/>
    <col min="9735" max="9987" width="9" style="1"/>
    <col min="9988" max="9988" width="13" style="1" bestFit="1" customWidth="1"/>
    <col min="9989" max="9989" width="9" style="1"/>
    <col min="9990" max="9990" width="14.25" style="1" bestFit="1" customWidth="1"/>
    <col min="9991" max="10243" width="9" style="1"/>
    <col min="10244" max="10244" width="13" style="1" bestFit="1" customWidth="1"/>
    <col min="10245" max="10245" width="9" style="1"/>
    <col min="10246" max="10246" width="14.25" style="1" bestFit="1" customWidth="1"/>
    <col min="10247" max="10499" width="9" style="1"/>
    <col min="10500" max="10500" width="13" style="1" bestFit="1" customWidth="1"/>
    <col min="10501" max="10501" width="9" style="1"/>
    <col min="10502" max="10502" width="14.25" style="1" bestFit="1" customWidth="1"/>
    <col min="10503" max="10755" width="9" style="1"/>
    <col min="10756" max="10756" width="13" style="1" bestFit="1" customWidth="1"/>
    <col min="10757" max="10757" width="9" style="1"/>
    <col min="10758" max="10758" width="14.25" style="1" bestFit="1" customWidth="1"/>
    <col min="10759" max="11011" width="9" style="1"/>
    <col min="11012" max="11012" width="13" style="1" bestFit="1" customWidth="1"/>
    <col min="11013" max="11013" width="9" style="1"/>
    <col min="11014" max="11014" width="14.25" style="1" bestFit="1" customWidth="1"/>
    <col min="11015" max="11267" width="9" style="1"/>
    <col min="11268" max="11268" width="13" style="1" bestFit="1" customWidth="1"/>
    <col min="11269" max="11269" width="9" style="1"/>
    <col min="11270" max="11270" width="14.25" style="1" bestFit="1" customWidth="1"/>
    <col min="11271" max="11523" width="9" style="1"/>
    <col min="11524" max="11524" width="13" style="1" bestFit="1" customWidth="1"/>
    <col min="11525" max="11525" width="9" style="1"/>
    <col min="11526" max="11526" width="14.25" style="1" bestFit="1" customWidth="1"/>
    <col min="11527" max="11779" width="9" style="1"/>
    <col min="11780" max="11780" width="13" style="1" bestFit="1" customWidth="1"/>
    <col min="11781" max="11781" width="9" style="1"/>
    <col min="11782" max="11782" width="14.25" style="1" bestFit="1" customWidth="1"/>
    <col min="11783" max="12035" width="9" style="1"/>
    <col min="12036" max="12036" width="13" style="1" bestFit="1" customWidth="1"/>
    <col min="12037" max="12037" width="9" style="1"/>
    <col min="12038" max="12038" width="14.25" style="1" bestFit="1" customWidth="1"/>
    <col min="12039" max="12291" width="9" style="1"/>
    <col min="12292" max="12292" width="13" style="1" bestFit="1" customWidth="1"/>
    <col min="12293" max="12293" width="9" style="1"/>
    <col min="12294" max="12294" width="14.25" style="1" bestFit="1" customWidth="1"/>
    <col min="12295" max="12547" width="9" style="1"/>
    <col min="12548" max="12548" width="13" style="1" bestFit="1" customWidth="1"/>
    <col min="12549" max="12549" width="9" style="1"/>
    <col min="12550" max="12550" width="14.25" style="1" bestFit="1" customWidth="1"/>
    <col min="12551" max="12803" width="9" style="1"/>
    <col min="12804" max="12804" width="13" style="1" bestFit="1" customWidth="1"/>
    <col min="12805" max="12805" width="9" style="1"/>
    <col min="12806" max="12806" width="14.25" style="1" bestFit="1" customWidth="1"/>
    <col min="12807" max="13059" width="9" style="1"/>
    <col min="13060" max="13060" width="13" style="1" bestFit="1" customWidth="1"/>
    <col min="13061" max="13061" width="9" style="1"/>
    <col min="13062" max="13062" width="14.25" style="1" bestFit="1" customWidth="1"/>
    <col min="13063" max="13315" width="9" style="1"/>
    <col min="13316" max="13316" width="13" style="1" bestFit="1" customWidth="1"/>
    <col min="13317" max="13317" width="9" style="1"/>
    <col min="13318" max="13318" width="14.25" style="1" bestFit="1" customWidth="1"/>
    <col min="13319" max="13571" width="9" style="1"/>
    <col min="13572" max="13572" width="13" style="1" bestFit="1" customWidth="1"/>
    <col min="13573" max="13573" width="9" style="1"/>
    <col min="13574" max="13574" width="14.25" style="1" bestFit="1" customWidth="1"/>
    <col min="13575" max="13827" width="9" style="1"/>
    <col min="13828" max="13828" width="13" style="1" bestFit="1" customWidth="1"/>
    <col min="13829" max="13829" width="9" style="1"/>
    <col min="13830" max="13830" width="14.25" style="1" bestFit="1" customWidth="1"/>
    <col min="13831" max="14083" width="9" style="1"/>
    <col min="14084" max="14084" width="13" style="1" bestFit="1" customWidth="1"/>
    <col min="14085" max="14085" width="9" style="1"/>
    <col min="14086" max="14086" width="14.25" style="1" bestFit="1" customWidth="1"/>
    <col min="14087" max="14339" width="9" style="1"/>
    <col min="14340" max="14340" width="13" style="1" bestFit="1" customWidth="1"/>
    <col min="14341" max="14341" width="9" style="1"/>
    <col min="14342" max="14342" width="14.25" style="1" bestFit="1" customWidth="1"/>
    <col min="14343" max="14595" width="9" style="1"/>
    <col min="14596" max="14596" width="13" style="1" bestFit="1" customWidth="1"/>
    <col min="14597" max="14597" width="9" style="1"/>
    <col min="14598" max="14598" width="14.25" style="1" bestFit="1" customWidth="1"/>
    <col min="14599" max="14851" width="9" style="1"/>
    <col min="14852" max="14852" width="13" style="1" bestFit="1" customWidth="1"/>
    <col min="14853" max="14853" width="9" style="1"/>
    <col min="14854" max="14854" width="14.25" style="1" bestFit="1" customWidth="1"/>
    <col min="14855" max="15107" width="9" style="1"/>
    <col min="15108" max="15108" width="13" style="1" bestFit="1" customWidth="1"/>
    <col min="15109" max="15109" width="9" style="1"/>
    <col min="15110" max="15110" width="14.25" style="1" bestFit="1" customWidth="1"/>
    <col min="15111" max="15363" width="9" style="1"/>
    <col min="15364" max="15364" width="13" style="1" bestFit="1" customWidth="1"/>
    <col min="15365" max="15365" width="9" style="1"/>
    <col min="15366" max="15366" width="14.25" style="1" bestFit="1" customWidth="1"/>
    <col min="15367" max="15619" width="9" style="1"/>
    <col min="15620" max="15620" width="13" style="1" bestFit="1" customWidth="1"/>
    <col min="15621" max="15621" width="9" style="1"/>
    <col min="15622" max="15622" width="14.25" style="1" bestFit="1" customWidth="1"/>
    <col min="15623" max="15875" width="9" style="1"/>
    <col min="15876" max="15876" width="13" style="1" bestFit="1" customWidth="1"/>
    <col min="15877" max="15877" width="9" style="1"/>
    <col min="15878" max="15878" width="14.25" style="1" bestFit="1" customWidth="1"/>
    <col min="15879" max="16131" width="9" style="1"/>
    <col min="16132" max="16132" width="13" style="1" bestFit="1" customWidth="1"/>
    <col min="16133" max="16133" width="9" style="1"/>
    <col min="16134" max="16134" width="14.25" style="1" bestFit="1" customWidth="1"/>
    <col min="16135" max="16384" width="9" style="1"/>
  </cols>
  <sheetData>
    <row r="1" spans="1:6">
      <c r="A1" s="26" t="s">
        <v>46</v>
      </c>
      <c r="B1" s="26"/>
      <c r="C1" s="26"/>
      <c r="D1" s="26"/>
      <c r="E1" s="26"/>
      <c r="F1" s="26"/>
    </row>
    <row r="3" spans="1:6">
      <c r="A3" s="21" t="s">
        <v>47</v>
      </c>
      <c r="B3" s="2" t="s">
        <v>48</v>
      </c>
      <c r="C3" s="2" t="s">
        <v>49</v>
      </c>
      <c r="D3" s="2" t="s">
        <v>50</v>
      </c>
      <c r="E3" s="2" t="s">
        <v>51</v>
      </c>
      <c r="F3" s="2" t="s">
        <v>52</v>
      </c>
    </row>
    <row r="4" spans="1:6">
      <c r="A4" s="21" t="s">
        <v>53</v>
      </c>
      <c r="B4" s="21" t="s">
        <v>54</v>
      </c>
      <c r="C4" s="21" t="s">
        <v>55</v>
      </c>
      <c r="D4" s="22">
        <v>45000</v>
      </c>
      <c r="E4" s="22">
        <v>50</v>
      </c>
      <c r="F4" s="23">
        <f>D4*E4</f>
        <v>2250000</v>
      </c>
    </row>
    <row r="5" spans="1:6">
      <c r="A5" s="21" t="s">
        <v>56</v>
      </c>
      <c r="B5" s="21" t="s">
        <v>57</v>
      </c>
      <c r="C5" s="21" t="s">
        <v>58</v>
      </c>
      <c r="D5" s="22">
        <v>150000</v>
      </c>
      <c r="E5" s="22">
        <v>10</v>
      </c>
      <c r="F5" s="23">
        <f t="shared" ref="F5:F14" si="0">D5*E5</f>
        <v>1500000</v>
      </c>
    </row>
    <row r="6" spans="1:6">
      <c r="A6" s="21" t="s">
        <v>53</v>
      </c>
      <c r="B6" s="21" t="s">
        <v>59</v>
      </c>
      <c r="C6" s="21" t="s">
        <v>60</v>
      </c>
      <c r="D6" s="22">
        <v>65000</v>
      </c>
      <c r="E6" s="22">
        <v>120</v>
      </c>
      <c r="F6" s="23">
        <f t="shared" si="0"/>
        <v>7800000</v>
      </c>
    </row>
    <row r="7" spans="1:6">
      <c r="A7" s="21" t="s">
        <v>56</v>
      </c>
      <c r="B7" s="21" t="s">
        <v>61</v>
      </c>
      <c r="C7" s="21" t="s">
        <v>62</v>
      </c>
      <c r="D7" s="22">
        <v>260000</v>
      </c>
      <c r="E7" s="22">
        <v>27</v>
      </c>
      <c r="F7" s="23">
        <f t="shared" si="0"/>
        <v>7020000</v>
      </c>
    </row>
    <row r="8" spans="1:6">
      <c r="A8" s="21" t="s">
        <v>63</v>
      </c>
      <c r="B8" s="21" t="s">
        <v>64</v>
      </c>
      <c r="C8" s="21" t="s">
        <v>65</v>
      </c>
      <c r="D8" s="22">
        <v>2500000</v>
      </c>
      <c r="E8" s="22">
        <v>5</v>
      </c>
      <c r="F8" s="23">
        <f t="shared" si="0"/>
        <v>12500000</v>
      </c>
    </row>
    <row r="9" spans="1:6">
      <c r="A9" s="21" t="s">
        <v>63</v>
      </c>
      <c r="B9" s="21" t="s">
        <v>66</v>
      </c>
      <c r="C9" s="21" t="s">
        <v>67</v>
      </c>
      <c r="D9" s="22">
        <v>580000</v>
      </c>
      <c r="E9" s="22">
        <v>13</v>
      </c>
      <c r="F9" s="23">
        <f t="shared" si="0"/>
        <v>7540000</v>
      </c>
    </row>
    <row r="10" spans="1:6">
      <c r="A10" s="21" t="s">
        <v>53</v>
      </c>
      <c r="B10" s="21" t="s">
        <v>68</v>
      </c>
      <c r="C10" s="21" t="s">
        <v>69</v>
      </c>
      <c r="D10" s="22">
        <v>42000</v>
      </c>
      <c r="E10" s="22">
        <v>166.66666666666666</v>
      </c>
      <c r="F10" s="23">
        <f t="shared" si="0"/>
        <v>7000000</v>
      </c>
    </row>
    <row r="11" spans="1:6">
      <c r="A11" s="21" t="s">
        <v>63</v>
      </c>
      <c r="B11" s="21" t="s">
        <v>66</v>
      </c>
      <c r="C11" s="21" t="s">
        <v>70</v>
      </c>
      <c r="D11" s="22">
        <v>1250000</v>
      </c>
      <c r="E11" s="22">
        <v>6</v>
      </c>
      <c r="F11" s="23">
        <f t="shared" si="0"/>
        <v>7500000</v>
      </c>
    </row>
    <row r="12" spans="1:6">
      <c r="A12" s="20" t="s">
        <v>63</v>
      </c>
      <c r="B12" s="20" t="s">
        <v>71</v>
      </c>
      <c r="C12" s="20" t="s">
        <v>72</v>
      </c>
      <c r="D12" s="24">
        <v>3250000</v>
      </c>
      <c r="E12" s="24">
        <v>4</v>
      </c>
      <c r="F12" s="23">
        <f t="shared" si="0"/>
        <v>13000000</v>
      </c>
    </row>
    <row r="13" spans="1:6">
      <c r="A13" s="20" t="s">
        <v>53</v>
      </c>
      <c r="B13" s="20" t="s">
        <v>73</v>
      </c>
      <c r="C13" s="20" t="s">
        <v>74</v>
      </c>
      <c r="D13" s="24">
        <v>62000</v>
      </c>
      <c r="E13" s="24">
        <v>70</v>
      </c>
      <c r="F13" s="23">
        <f t="shared" si="0"/>
        <v>4340000</v>
      </c>
    </row>
    <row r="14" spans="1:6">
      <c r="A14" s="20" t="s">
        <v>56</v>
      </c>
      <c r="B14" s="20" t="s">
        <v>75</v>
      </c>
      <c r="C14" s="20" t="s">
        <v>76</v>
      </c>
      <c r="D14" s="24">
        <v>250000</v>
      </c>
      <c r="E14" s="24">
        <v>25</v>
      </c>
      <c r="F14" s="23">
        <f t="shared" si="0"/>
        <v>6250000</v>
      </c>
    </row>
  </sheetData>
  <dataConsolidate/>
  <mergeCells count="1">
    <mergeCell ref="A1:F1"/>
  </mergeCells>
  <phoneticPr fontId="2" type="noConversion"/>
  <printOptions headings="1" gridLines="1"/>
  <pageMargins left="0.75" right="0.75" top="1" bottom="1" header="0.5" footer="0.5"/>
  <pageSetup paperSize="9" orientation="landscape" r:id="rId1"/>
  <headerFooter alignWithMargins="0">
    <oddFooter>&amp;C&amp;F&amp;A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dimension ref="A1:F13"/>
  <sheetViews>
    <sheetView workbookViewId="0">
      <selection activeCell="E5" sqref="E5"/>
    </sheetView>
  </sheetViews>
  <sheetFormatPr defaultRowHeight="16.5"/>
  <cols>
    <col min="1" max="6" width="12.625" customWidth="1"/>
  </cols>
  <sheetData>
    <row r="1" spans="1:6" ht="26.25">
      <c r="A1" s="28" t="s">
        <v>0</v>
      </c>
      <c r="B1" s="28"/>
      <c r="C1" s="28"/>
      <c r="D1" s="28"/>
      <c r="E1" s="28"/>
      <c r="F1" s="28"/>
    </row>
    <row r="2" spans="1:6">
      <c r="A2" s="3"/>
      <c r="B2" s="3"/>
      <c r="C2" s="3"/>
      <c r="D2" s="3"/>
      <c r="E2" s="4"/>
      <c r="F2" s="3"/>
    </row>
    <row r="3" spans="1:6">
      <c r="A3" s="29" t="s">
        <v>1</v>
      </c>
      <c r="B3" s="29" t="s">
        <v>2</v>
      </c>
      <c r="C3" s="27" t="s">
        <v>3</v>
      </c>
      <c r="D3" s="27"/>
      <c r="E3" s="27"/>
      <c r="F3" s="27" t="s">
        <v>4</v>
      </c>
    </row>
    <row r="4" spans="1:6">
      <c r="A4" s="30"/>
      <c r="B4" s="30"/>
      <c r="C4" s="5" t="s">
        <v>5</v>
      </c>
      <c r="D4" s="6" t="s">
        <v>6</v>
      </c>
      <c r="E4" s="7" t="s">
        <v>7</v>
      </c>
      <c r="F4" s="27"/>
    </row>
    <row r="5" spans="1:6">
      <c r="A5" s="8" t="s">
        <v>8</v>
      </c>
      <c r="B5" s="7" t="s">
        <v>9</v>
      </c>
      <c r="C5" s="9">
        <v>3200</v>
      </c>
      <c r="D5" s="10">
        <f t="shared" ref="D5:D10" si="0">C5/환율</f>
        <v>2.9090909090909092</v>
      </c>
      <c r="E5" s="11">
        <v>2750</v>
      </c>
      <c r="F5" s="11">
        <f>C5-E5</f>
        <v>450</v>
      </c>
    </row>
    <row r="6" spans="1:6">
      <c r="A6" s="8" t="s">
        <v>10</v>
      </c>
      <c r="B6" s="7" t="s">
        <v>11</v>
      </c>
      <c r="C6" s="9">
        <v>4200</v>
      </c>
      <c r="D6" s="10">
        <f t="shared" si="0"/>
        <v>3.8181818181818183</v>
      </c>
      <c r="E6" s="11">
        <v>3850</v>
      </c>
      <c r="F6" s="11">
        <f t="shared" ref="F6:F10" si="1">C6-E6</f>
        <v>350</v>
      </c>
    </row>
    <row r="7" spans="1:6">
      <c r="A7" s="8" t="s">
        <v>12</v>
      </c>
      <c r="B7" s="7" t="s">
        <v>13</v>
      </c>
      <c r="C7" s="9">
        <v>22000</v>
      </c>
      <c r="D7" s="10">
        <f t="shared" si="0"/>
        <v>20</v>
      </c>
      <c r="E7" s="11">
        <v>19800</v>
      </c>
      <c r="F7" s="11">
        <f t="shared" si="1"/>
        <v>2200</v>
      </c>
    </row>
    <row r="8" spans="1:6">
      <c r="A8" s="8" t="s">
        <v>14</v>
      </c>
      <c r="B8" s="7" t="s">
        <v>15</v>
      </c>
      <c r="C8" s="9">
        <v>35000</v>
      </c>
      <c r="D8" s="10">
        <f t="shared" si="0"/>
        <v>31.818181818181817</v>
      </c>
      <c r="E8" s="11">
        <v>27500</v>
      </c>
      <c r="F8" s="11">
        <f t="shared" si="1"/>
        <v>7500</v>
      </c>
    </row>
    <row r="9" spans="1:6">
      <c r="A9" s="8" t="s">
        <v>16</v>
      </c>
      <c r="B9" s="7" t="s">
        <v>17</v>
      </c>
      <c r="C9" s="9">
        <v>60000</v>
      </c>
      <c r="D9" s="10">
        <f t="shared" si="0"/>
        <v>54.545454545454547</v>
      </c>
      <c r="E9" s="11">
        <v>52800</v>
      </c>
      <c r="F9" s="11">
        <f t="shared" si="1"/>
        <v>7200</v>
      </c>
    </row>
    <row r="10" spans="1:6">
      <c r="A10" s="8" t="s">
        <v>18</v>
      </c>
      <c r="B10" s="7" t="s">
        <v>19</v>
      </c>
      <c r="C10" s="9">
        <v>3000</v>
      </c>
      <c r="D10" s="10">
        <f t="shared" si="0"/>
        <v>2.7272727272727271</v>
      </c>
      <c r="E10" s="11">
        <v>2530</v>
      </c>
      <c r="F10" s="11">
        <f t="shared" si="1"/>
        <v>470</v>
      </c>
    </row>
    <row r="11" spans="1:6">
      <c r="A11" s="27" t="s">
        <v>20</v>
      </c>
      <c r="B11" s="27"/>
      <c r="C11" s="12">
        <v>127400</v>
      </c>
      <c r="D11" s="13">
        <v>115.81818181818183</v>
      </c>
      <c r="E11" s="12">
        <v>109230</v>
      </c>
      <c r="F11" s="12">
        <f>SUM(F5:F10)</f>
        <v>18170</v>
      </c>
    </row>
    <row r="12" spans="1:6">
      <c r="A12" s="3"/>
      <c r="B12" s="3"/>
      <c r="C12" s="3"/>
      <c r="D12" s="14"/>
      <c r="E12" s="15"/>
      <c r="F12" s="3"/>
    </row>
    <row r="13" spans="1:6">
      <c r="A13" s="3"/>
      <c r="B13" s="16" t="s">
        <v>21</v>
      </c>
      <c r="C13" s="7">
        <v>1100</v>
      </c>
      <c r="D13" s="3"/>
      <c r="E13" s="3"/>
      <c r="F13" s="3"/>
    </row>
  </sheetData>
  <scenarios current="1" sqref="F11">
    <scenario name="환율인상" locked="1" count="1" user="dana" comment="만든 사람 dana 날짜 2011-12-04">
      <inputCells r="C13" val="1200" numFmtId="41"/>
    </scenario>
    <scenario name="환율인하" locked="1" count="1" user="dana" comment="만든 사람 dana 날짜 2011-12-04">
      <inputCells r="C13" val="1000" numFmtId="41"/>
    </scenario>
  </scenarios>
  <mergeCells count="6">
    <mergeCell ref="A11:B11"/>
    <mergeCell ref="A1:F1"/>
    <mergeCell ref="A3:A4"/>
    <mergeCell ref="B3:B4"/>
    <mergeCell ref="C3:E3"/>
    <mergeCell ref="F3:F4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2</vt:i4>
      </vt:variant>
    </vt:vector>
  </HeadingPairs>
  <TitlesOfParts>
    <vt:vector size="5" baseType="lpstr">
      <vt:lpstr>부분합</vt:lpstr>
      <vt:lpstr>목표값찾기</vt:lpstr>
      <vt:lpstr>시나리오</vt:lpstr>
      <vt:lpstr>이익금합계</vt:lpstr>
      <vt:lpstr>환율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dana</dc:creator>
  <cp:lastModifiedBy>dana</cp:lastModifiedBy>
  <dcterms:created xsi:type="dcterms:W3CDTF">2011-12-03T15:35:51Z</dcterms:created>
  <dcterms:modified xsi:type="dcterms:W3CDTF">2012-01-10T11:03:47Z</dcterms:modified>
</cp:coreProperties>
</file>