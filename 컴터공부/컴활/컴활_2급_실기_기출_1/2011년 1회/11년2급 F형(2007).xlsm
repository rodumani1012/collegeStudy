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360" yWindow="60" windowWidth="15480" windowHeight="9795" tabRatio="710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'기본작업-3'!$A$3:$G$16</definedName>
    <definedName name="_xlnm.Criteria" localSheetId="2">'기본작업-3'!#REF!</definedName>
    <definedName name="_xlnm.Extract" localSheetId="2">'기본작업-3'!#REF!</definedName>
    <definedName name="MS_Access_Database_Query" localSheetId="2">'기본작업-3'!$A$3:$G$16</definedName>
    <definedName name="상품명">'기본작업-2'!$A$7:$A$14</definedName>
    <definedName name="중간고사" localSheetId="2">'기본작업-3'!#REF!</definedName>
    <definedName name="중간고사_1" localSheetId="2">'기본작업-3'!#REF!</definedName>
    <definedName name="중간고사_2" localSheetId="2">'기본작업-3'!#REF!</definedName>
    <definedName name="중간고사_3" localSheetId="2">'기본작업-3'!#REF!</definedName>
  </definedNames>
  <calcPr calcId="145621"/>
</workbook>
</file>

<file path=xl/calcChain.xml><?xml version="1.0" encoding="utf-8"?>
<calcChain xmlns="http://schemas.openxmlformats.org/spreadsheetml/2006/main">
  <c r="J22" i="4" l="1"/>
  <c r="J21" i="4"/>
  <c r="J20" i="4"/>
  <c r="J19" i="4"/>
  <c r="J18" i="4"/>
  <c r="J17" i="4"/>
  <c r="J16" i="4"/>
  <c r="J15" i="4"/>
  <c r="E4" i="6"/>
  <c r="F4" i="6" s="1"/>
  <c r="B5" i="6"/>
  <c r="E5" i="6" s="1"/>
  <c r="D9" i="6"/>
  <c r="C9" i="6"/>
  <c r="J8" i="4"/>
  <c r="J3" i="4"/>
  <c r="J4" i="4"/>
  <c r="J5" i="4"/>
  <c r="J6" i="4"/>
  <c r="J7" i="4"/>
  <c r="F14" i="2"/>
  <c r="F13" i="2"/>
  <c r="F12" i="2"/>
  <c r="F11" i="2"/>
  <c r="F10" i="2"/>
  <c r="F9" i="2"/>
  <c r="F8" i="2"/>
  <c r="F7" i="2"/>
  <c r="F6" i="2"/>
  <c r="G5" i="3"/>
  <c r="G6" i="3"/>
  <c r="G7" i="3"/>
  <c r="G8" i="3"/>
  <c r="G9" i="3"/>
  <c r="G10" i="3"/>
  <c r="G11" i="3"/>
  <c r="G12" i="3"/>
  <c r="G13" i="3"/>
  <c r="G14" i="3"/>
  <c r="G15" i="3"/>
  <c r="G16" i="3"/>
  <c r="G4" i="3"/>
  <c r="F5" i="6" l="1"/>
  <c r="B6" i="6"/>
  <c r="E6" i="6" l="1"/>
  <c r="B7" i="6"/>
  <c r="E7" i="6" l="1"/>
  <c r="B8" i="6"/>
  <c r="F7" i="6"/>
  <c r="F6" i="6"/>
  <c r="E8" i="6" l="1"/>
  <c r="E9" i="6" s="1"/>
  <c r="B9" i="6"/>
  <c r="F8" i="6" l="1"/>
  <c r="F9" i="6" s="1"/>
</calcChain>
</file>

<file path=xl/connections.xml><?xml version="1.0" encoding="utf-8"?>
<connections xmlns="http://schemas.openxmlformats.org/spreadsheetml/2006/main">
  <connection id="1" name="연결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<sst xmlns="http://schemas.openxmlformats.org/spreadsheetml/2006/main" count="254" uniqueCount="204">
  <si>
    <t>날짜</t>
  </si>
  <si>
    <t>코드</t>
  </si>
  <si>
    <t>제품명</t>
  </si>
  <si>
    <t>구분</t>
  </si>
  <si>
    <t>제품단가</t>
  </si>
  <si>
    <t>수량</t>
  </si>
  <si>
    <t>입금금액</t>
  </si>
  <si>
    <t>수출</t>
  </si>
  <si>
    <t>은타일</t>
  </si>
  <si>
    <t>금도료</t>
  </si>
  <si>
    <t>수입</t>
  </si>
  <si>
    <t>성명</t>
  </si>
  <si>
    <t>대출일</t>
  </si>
  <si>
    <t>반납일</t>
  </si>
  <si>
    <t>세공품 수출입 현황</t>
    <phoneticPr fontId="4" type="noConversion"/>
  </si>
  <si>
    <t>S200</t>
    <phoneticPr fontId="4" type="noConversion"/>
  </si>
  <si>
    <t>은타일</t>
    <phoneticPr fontId="4" type="noConversion"/>
  </si>
  <si>
    <t>수입</t>
    <phoneticPr fontId="4" type="noConversion"/>
  </si>
  <si>
    <t>C100</t>
    <phoneticPr fontId="4" type="noConversion"/>
  </si>
  <si>
    <t>세공품</t>
    <phoneticPr fontId="4" type="noConversion"/>
  </si>
  <si>
    <t>수출</t>
    <phoneticPr fontId="4" type="noConversion"/>
  </si>
  <si>
    <t>G111</t>
    <phoneticPr fontId="4" type="noConversion"/>
  </si>
  <si>
    <t>금도료</t>
    <phoneticPr fontId="4" type="noConversion"/>
  </si>
  <si>
    <t>사원명</t>
    <phoneticPr fontId="4" type="noConversion"/>
  </si>
  <si>
    <t>이지연</t>
    <phoneticPr fontId="4" type="noConversion"/>
  </si>
  <si>
    <t>5월 재고현황</t>
    <phoneticPr fontId="4" type="noConversion"/>
  </si>
  <si>
    <t>평균</t>
    <phoneticPr fontId="4" type="noConversion"/>
  </si>
  <si>
    <t>15세이용가</t>
    <phoneticPr fontId="4" type="noConversion"/>
  </si>
  <si>
    <t>스포츠</t>
    <phoneticPr fontId="4" type="noConversion"/>
  </si>
  <si>
    <t>전체이용가</t>
    <phoneticPr fontId="4" type="noConversion"/>
  </si>
  <si>
    <t>어드벤처</t>
    <phoneticPr fontId="4" type="noConversion"/>
  </si>
  <si>
    <t>12세이용가</t>
    <phoneticPr fontId="4" type="noConversion"/>
  </si>
  <si>
    <t>RPG</t>
    <phoneticPr fontId="4" type="noConversion"/>
  </si>
  <si>
    <t>레이싱</t>
    <phoneticPr fontId="4" type="noConversion"/>
  </si>
  <si>
    <t>슈팅</t>
    <phoneticPr fontId="4" type="noConversion"/>
  </si>
  <si>
    <t>퍼즐</t>
    <phoneticPr fontId="4" type="noConversion"/>
  </si>
  <si>
    <t>아케이드</t>
    <phoneticPr fontId="4" type="noConversion"/>
  </si>
  <si>
    <r>
      <t>20</t>
    </r>
    <r>
      <rPr>
        <sz val="11"/>
        <rFont val="돋움"/>
        <family val="3"/>
        <charset val="129"/>
      </rPr>
      <t>11</t>
    </r>
    <r>
      <rPr>
        <sz val="11"/>
        <rFont val="돋움"/>
        <family val="3"/>
        <charset val="129"/>
      </rPr>
      <t>년 상반기 게임</t>
    </r>
    <r>
      <rPr>
        <sz val="11"/>
        <rFont val="돋움"/>
        <family val="3"/>
        <charset val="129"/>
      </rPr>
      <t xml:space="preserve"> DVD 판매 현황</t>
    </r>
    <phoneticPr fontId="4" type="noConversion"/>
  </si>
  <si>
    <t>1월</t>
    <phoneticPr fontId="4" type="noConversion"/>
  </si>
  <si>
    <t>2월</t>
    <phoneticPr fontId="4" type="noConversion"/>
  </si>
  <si>
    <t>3월</t>
    <phoneticPr fontId="4" type="noConversion"/>
  </si>
  <si>
    <t>[표1] 직원급여내역</t>
    <phoneticPr fontId="4" type="noConversion"/>
  </si>
  <si>
    <t>[표2] 조별단합대회 경기 결과표</t>
    <phoneticPr fontId="4" type="noConversion"/>
  </si>
  <si>
    <t>급여총액</t>
    <phoneticPr fontId="4" type="noConversion"/>
  </si>
  <si>
    <t>누진공제</t>
    <phoneticPr fontId="4" type="noConversion"/>
  </si>
  <si>
    <t>세금공제액</t>
    <phoneticPr fontId="4" type="noConversion"/>
  </si>
  <si>
    <t>조</t>
    <phoneticPr fontId="4" type="noConversion"/>
  </si>
  <si>
    <t>발야구</t>
    <phoneticPr fontId="4" type="noConversion"/>
  </si>
  <si>
    <t>줄다리기</t>
    <phoneticPr fontId="4" type="noConversion"/>
  </si>
  <si>
    <t>계주</t>
    <phoneticPr fontId="4" type="noConversion"/>
  </si>
  <si>
    <t>총점</t>
    <phoneticPr fontId="4" type="noConversion"/>
  </si>
  <si>
    <t>순위</t>
    <phoneticPr fontId="4" type="noConversion"/>
  </si>
  <si>
    <t>생산1팀</t>
    <phoneticPr fontId="4" type="noConversion"/>
  </si>
  <si>
    <t>한가람</t>
    <phoneticPr fontId="4" type="noConversion"/>
  </si>
  <si>
    <t>경영1팀</t>
    <phoneticPr fontId="4" type="noConversion"/>
  </si>
  <si>
    <t>오두영</t>
    <phoneticPr fontId="4" type="noConversion"/>
  </si>
  <si>
    <t>영업1팀</t>
    <phoneticPr fontId="4" type="noConversion"/>
  </si>
  <si>
    <t>안치연</t>
    <phoneticPr fontId="4" type="noConversion"/>
  </si>
  <si>
    <t>생산2팀</t>
    <phoneticPr fontId="4" type="noConversion"/>
  </si>
  <si>
    <t>명기영</t>
    <phoneticPr fontId="4" type="noConversion"/>
  </si>
  <si>
    <t>경영2팀</t>
    <phoneticPr fontId="4" type="noConversion"/>
  </si>
  <si>
    <t>나미인</t>
    <phoneticPr fontId="4" type="noConversion"/>
  </si>
  <si>
    <t>영업2팀</t>
    <phoneticPr fontId="4" type="noConversion"/>
  </si>
  <si>
    <t>세율표</t>
    <phoneticPr fontId="4" type="noConversion"/>
  </si>
  <si>
    <t>세율</t>
    <phoneticPr fontId="4" type="noConversion"/>
  </si>
  <si>
    <t>[표4] 외국인 근로자 급여내역표</t>
    <phoneticPr fontId="4" type="noConversion"/>
  </si>
  <si>
    <t>쏘완</t>
    <phoneticPr fontId="4" type="noConversion"/>
  </si>
  <si>
    <t>영업부</t>
    <phoneticPr fontId="4" type="noConversion"/>
  </si>
  <si>
    <t>[표3] 버스운행시간표</t>
    <phoneticPr fontId="4" type="noConversion"/>
  </si>
  <si>
    <t>예양</t>
    <phoneticPr fontId="4" type="noConversion"/>
  </si>
  <si>
    <t>자재부</t>
    <phoneticPr fontId="4" type="noConversion"/>
  </si>
  <si>
    <t>도착지</t>
    <phoneticPr fontId="4" type="noConversion"/>
  </si>
  <si>
    <t>출발시간</t>
    <phoneticPr fontId="4" type="noConversion"/>
  </si>
  <si>
    <t>정류장</t>
    <phoneticPr fontId="4" type="noConversion"/>
  </si>
  <si>
    <t>도착예정시간</t>
    <phoneticPr fontId="4" type="noConversion"/>
  </si>
  <si>
    <t>크리스</t>
    <phoneticPr fontId="4" type="noConversion"/>
  </si>
  <si>
    <t>그레펜</t>
    <phoneticPr fontId="4" type="noConversion"/>
  </si>
  <si>
    <t>루티</t>
    <phoneticPr fontId="4" type="noConversion"/>
  </si>
  <si>
    <t>마봉</t>
    <phoneticPr fontId="4" type="noConversion"/>
  </si>
  <si>
    <t>생산부</t>
    <phoneticPr fontId="4" type="noConversion"/>
  </si>
  <si>
    <t>가이온</t>
    <phoneticPr fontId="4" type="noConversion"/>
  </si>
  <si>
    <t>알리</t>
    <phoneticPr fontId="4" type="noConversion"/>
  </si>
  <si>
    <t>생산부 추가지급액</t>
    <phoneticPr fontId="4" type="noConversion"/>
  </si>
  <si>
    <t>[표5] 완제품 생산 현황표</t>
    <phoneticPr fontId="4" type="noConversion"/>
  </si>
  <si>
    <t>제품</t>
    <phoneticPr fontId="4" type="noConversion"/>
  </si>
  <si>
    <t>공정</t>
    <phoneticPr fontId="4" type="noConversion"/>
  </si>
  <si>
    <t>옵션</t>
    <phoneticPr fontId="4" type="noConversion"/>
  </si>
  <si>
    <t>제품식별번호</t>
    <phoneticPr fontId="4" type="noConversion"/>
  </si>
  <si>
    <t>abc</t>
    <phoneticPr fontId="4" type="noConversion"/>
  </si>
  <si>
    <t>ps01</t>
    <phoneticPr fontId="4" type="noConversion"/>
  </si>
  <si>
    <t>g</t>
    <phoneticPr fontId="4" type="noConversion"/>
  </si>
  <si>
    <t>rpg</t>
    <phoneticPr fontId="4" type="noConversion"/>
  </si>
  <si>
    <t>ps02</t>
  </si>
  <si>
    <t>k</t>
    <phoneticPr fontId="4" type="noConversion"/>
  </si>
  <si>
    <t>dga</t>
    <phoneticPr fontId="4" type="noConversion"/>
  </si>
  <si>
    <t>ps03</t>
  </si>
  <si>
    <t>j</t>
    <phoneticPr fontId="4" type="noConversion"/>
  </si>
  <si>
    <t>lew</t>
    <phoneticPr fontId="4" type="noConversion"/>
  </si>
  <si>
    <t>ps04</t>
  </si>
  <si>
    <t>w</t>
    <phoneticPr fontId="4" type="noConversion"/>
  </si>
  <si>
    <t>kei</t>
    <phoneticPr fontId="4" type="noConversion"/>
  </si>
  <si>
    <t>ps05</t>
  </si>
  <si>
    <t>c</t>
    <phoneticPr fontId="4" type="noConversion"/>
  </si>
  <si>
    <t>cle</t>
    <phoneticPr fontId="4" type="noConversion"/>
  </si>
  <si>
    <t>ps06</t>
  </si>
  <si>
    <t>r</t>
    <phoneticPr fontId="4" type="noConversion"/>
  </si>
  <si>
    <t>영화 DVD 대여 현황</t>
    <phoneticPr fontId="4" type="noConversion"/>
  </si>
  <si>
    <t>영화명</t>
    <phoneticPr fontId="4" type="noConversion"/>
  </si>
  <si>
    <t>장르</t>
    <phoneticPr fontId="4" type="noConversion"/>
  </si>
  <si>
    <t>대여료</t>
    <phoneticPr fontId="4" type="noConversion"/>
  </si>
  <si>
    <t>연체료</t>
    <phoneticPr fontId="4" type="noConversion"/>
  </si>
  <si>
    <t>친구</t>
    <phoneticPr fontId="4" type="noConversion"/>
  </si>
  <si>
    <t>액션</t>
    <phoneticPr fontId="4" type="noConversion"/>
  </si>
  <si>
    <t>김은조</t>
    <phoneticPr fontId="4" type="noConversion"/>
  </si>
  <si>
    <t>엑스맨</t>
    <phoneticPr fontId="4" type="noConversion"/>
  </si>
  <si>
    <t>판타지</t>
    <phoneticPr fontId="4" type="noConversion"/>
  </si>
  <si>
    <t>한성기</t>
    <phoneticPr fontId="4" type="noConversion"/>
  </si>
  <si>
    <t>쿵푸팬더</t>
    <phoneticPr fontId="4" type="noConversion"/>
  </si>
  <si>
    <t>애니메이션</t>
    <phoneticPr fontId="4" type="noConversion"/>
  </si>
  <si>
    <t>정은경</t>
    <phoneticPr fontId="4" type="noConversion"/>
  </si>
  <si>
    <t>반지의제왕</t>
    <phoneticPr fontId="4" type="noConversion"/>
  </si>
  <si>
    <t>어수한</t>
    <phoneticPr fontId="4" type="noConversion"/>
  </si>
  <si>
    <t>퍼팩트월드</t>
    <phoneticPr fontId="4" type="noConversion"/>
  </si>
  <si>
    <t>드라마</t>
    <phoneticPr fontId="4" type="noConversion"/>
  </si>
  <si>
    <t>최철근</t>
    <phoneticPr fontId="4" type="noConversion"/>
  </si>
  <si>
    <t>레옹</t>
    <phoneticPr fontId="4" type="noConversion"/>
  </si>
  <si>
    <t>한미인</t>
    <phoneticPr fontId="4" type="noConversion"/>
  </si>
  <si>
    <t>쇼생크탈출</t>
    <phoneticPr fontId="4" type="noConversion"/>
  </si>
  <si>
    <t>양해일</t>
    <phoneticPr fontId="4" type="noConversion"/>
  </si>
  <si>
    <t>뮬란</t>
    <phoneticPr fontId="4" type="noConversion"/>
  </si>
  <si>
    <t>김성희</t>
    <phoneticPr fontId="4" type="noConversion"/>
  </si>
  <si>
    <t>해리포터</t>
    <phoneticPr fontId="4" type="noConversion"/>
  </si>
  <si>
    <t>황경엽</t>
    <phoneticPr fontId="4" type="noConversion"/>
  </si>
  <si>
    <t>시네마천국</t>
    <phoneticPr fontId="4" type="noConversion"/>
  </si>
  <si>
    <t>김민수</t>
    <phoneticPr fontId="4" type="noConversion"/>
  </si>
  <si>
    <t>포레스트 검프</t>
    <phoneticPr fontId="4" type="noConversion"/>
  </si>
  <si>
    <t>우한미</t>
    <phoneticPr fontId="4" type="noConversion"/>
  </si>
  <si>
    <t>토이스토리</t>
    <phoneticPr fontId="4" type="noConversion"/>
  </si>
  <si>
    <t>여진희</t>
    <phoneticPr fontId="4" type="noConversion"/>
  </si>
  <si>
    <t>글레디에이터</t>
    <phoneticPr fontId="4" type="noConversion"/>
  </si>
  <si>
    <t>유영조</t>
    <phoneticPr fontId="4" type="noConversion"/>
  </si>
  <si>
    <t>와호장룡</t>
    <phoneticPr fontId="4" type="noConversion"/>
  </si>
  <si>
    <t>최영숙</t>
    <phoneticPr fontId="4" type="noConversion"/>
  </si>
  <si>
    <t>이웃집 토토로</t>
    <phoneticPr fontId="4" type="noConversion"/>
  </si>
  <si>
    <t>신유연</t>
    <phoneticPr fontId="4" type="noConversion"/>
  </si>
  <si>
    <t>세율</t>
    <phoneticPr fontId="4" type="noConversion"/>
  </si>
  <si>
    <t>연평균 성장율</t>
    <phoneticPr fontId="4" type="noConversion"/>
  </si>
  <si>
    <t>손익계산서</t>
    <phoneticPr fontId="4" type="noConversion"/>
  </si>
  <si>
    <t>년도</t>
    <phoneticPr fontId="4" type="noConversion"/>
  </si>
  <si>
    <t>매출액</t>
    <phoneticPr fontId="4" type="noConversion"/>
  </si>
  <si>
    <t>영업비</t>
    <phoneticPr fontId="4" type="noConversion"/>
  </si>
  <si>
    <t>관리비</t>
    <phoneticPr fontId="4" type="noConversion"/>
  </si>
  <si>
    <t>세금</t>
    <phoneticPr fontId="4" type="noConversion"/>
  </si>
  <si>
    <t>순이익</t>
    <phoneticPr fontId="4" type="noConversion"/>
  </si>
  <si>
    <r>
      <t>2</t>
    </r>
    <r>
      <rPr>
        <sz val="11"/>
        <rFont val="돋움"/>
        <family val="3"/>
        <charset val="129"/>
      </rPr>
      <t>006년</t>
    </r>
    <phoneticPr fontId="4" type="noConversion"/>
  </si>
  <si>
    <r>
      <t>200</t>
    </r>
    <r>
      <rPr>
        <sz val="11"/>
        <rFont val="돋움"/>
        <family val="3"/>
        <charset val="129"/>
      </rPr>
      <t>7</t>
    </r>
    <r>
      <rPr>
        <sz val="11"/>
        <rFont val="돋움"/>
        <family val="3"/>
        <charset val="129"/>
      </rPr>
      <t>년</t>
    </r>
    <phoneticPr fontId="4" type="noConversion"/>
  </si>
  <si>
    <r>
      <t>200</t>
    </r>
    <r>
      <rPr>
        <sz val="11"/>
        <rFont val="돋움"/>
        <family val="3"/>
        <charset val="129"/>
      </rPr>
      <t>8</t>
    </r>
    <r>
      <rPr>
        <sz val="11"/>
        <rFont val="돋움"/>
        <family val="3"/>
        <charset val="129"/>
      </rPr>
      <t>년</t>
    </r>
    <phoneticPr fontId="4" type="noConversion"/>
  </si>
  <si>
    <r>
      <t>2</t>
    </r>
    <r>
      <rPr>
        <sz val="11"/>
        <rFont val="돋움"/>
        <family val="3"/>
        <charset val="129"/>
      </rPr>
      <t>009년</t>
    </r>
    <phoneticPr fontId="4" type="noConversion"/>
  </si>
  <si>
    <r>
      <t>2</t>
    </r>
    <r>
      <rPr>
        <sz val="11"/>
        <rFont val="돋움"/>
        <family val="3"/>
        <charset val="129"/>
      </rPr>
      <t>010년</t>
    </r>
    <phoneticPr fontId="4" type="noConversion"/>
  </si>
  <si>
    <t>6월 임금명세표</t>
    <phoneticPr fontId="4" type="noConversion"/>
  </si>
  <si>
    <t>성명</t>
    <phoneticPr fontId="4" type="noConversion"/>
  </si>
  <si>
    <t>김사진</t>
    <phoneticPr fontId="4" type="noConversion"/>
  </si>
  <si>
    <t>유현옥</t>
    <phoneticPr fontId="4" type="noConversion"/>
  </si>
  <si>
    <t>강민철</t>
    <phoneticPr fontId="4" type="noConversion"/>
  </si>
  <si>
    <t>최강순</t>
    <phoneticPr fontId="4" type="noConversion"/>
  </si>
  <si>
    <t>김요열</t>
    <phoneticPr fontId="4" type="noConversion"/>
  </si>
  <si>
    <t>윤정희</t>
    <phoneticPr fontId="4" type="noConversion"/>
  </si>
  <si>
    <t>한상훈</t>
    <phoneticPr fontId="4" type="noConversion"/>
  </si>
  <si>
    <t>박근희</t>
    <phoneticPr fontId="4" type="noConversion"/>
  </si>
  <si>
    <t>기본급</t>
    <phoneticPr fontId="4" type="noConversion"/>
  </si>
  <si>
    <t>실수령액</t>
    <phoneticPr fontId="4" type="noConversion"/>
  </si>
  <si>
    <t>가계지원비</t>
    <phoneticPr fontId="4" type="noConversion"/>
  </si>
  <si>
    <t>세금</t>
    <phoneticPr fontId="4" type="noConversion"/>
  </si>
  <si>
    <t>보조지원비</t>
    <phoneticPr fontId="4" type="noConversion"/>
  </si>
  <si>
    <t>년도</t>
    <phoneticPr fontId="4" type="noConversion"/>
  </si>
  <si>
    <t>발생건수</t>
    <phoneticPr fontId="4" type="noConversion"/>
  </si>
  <si>
    <t>사망자수</t>
    <phoneticPr fontId="4" type="noConversion"/>
  </si>
  <si>
    <t>부상자수</t>
    <phoneticPr fontId="4" type="noConversion"/>
  </si>
  <si>
    <t>중상자수</t>
    <phoneticPr fontId="4" type="noConversion"/>
  </si>
  <si>
    <t>경상자수</t>
    <phoneticPr fontId="4" type="noConversion"/>
  </si>
  <si>
    <t>단위:명</t>
    <phoneticPr fontId="4" type="noConversion"/>
  </si>
  <si>
    <t>년도별 교통사고 건수</t>
    <phoneticPr fontId="4" type="noConversion"/>
  </si>
  <si>
    <t>2007년</t>
    <phoneticPr fontId="4" type="noConversion"/>
  </si>
  <si>
    <t>2008년</t>
    <phoneticPr fontId="4" type="noConversion"/>
  </si>
  <si>
    <t>2009년</t>
    <phoneticPr fontId="4" type="noConversion"/>
  </si>
  <si>
    <t>2010년</t>
    <phoneticPr fontId="4" type="noConversion"/>
  </si>
  <si>
    <t>액션</t>
    <phoneticPr fontId="4" type="noConversion"/>
  </si>
  <si>
    <t>시뮬레이션</t>
    <phoneticPr fontId="4" type="noConversion"/>
  </si>
  <si>
    <t>장르</t>
    <phoneticPr fontId="4" type="noConversion"/>
  </si>
  <si>
    <t>등급</t>
    <phoneticPr fontId="4" type="noConversion"/>
  </si>
  <si>
    <t>상반기 판매량</t>
    <phoneticPr fontId="4" type="noConversion"/>
  </si>
  <si>
    <t>평균판매량</t>
    <phoneticPr fontId="4" type="noConversion"/>
  </si>
  <si>
    <t>망원동</t>
    <phoneticPr fontId="4" type="noConversion"/>
  </si>
  <si>
    <t>서교동</t>
    <phoneticPr fontId="4" type="noConversion"/>
  </si>
  <si>
    <t>신촌역</t>
    <phoneticPr fontId="4" type="noConversion"/>
  </si>
  <si>
    <t>상암동</t>
    <phoneticPr fontId="4" type="noConversion"/>
  </si>
  <si>
    <t>영등포역</t>
    <phoneticPr fontId="4" type="noConversion"/>
  </si>
  <si>
    <t>남대문</t>
    <phoneticPr fontId="4" type="noConversion"/>
  </si>
  <si>
    <t>시청</t>
    <phoneticPr fontId="4" type="noConversion"/>
  </si>
  <si>
    <t>성명</t>
    <phoneticPr fontId="4" type="noConversion"/>
  </si>
  <si>
    <t>부서명</t>
    <phoneticPr fontId="4" type="noConversion"/>
  </si>
  <si>
    <t>기본급</t>
    <phoneticPr fontId="4" type="noConversion"/>
  </si>
  <si>
    <t>추가지급액</t>
    <phoneticPr fontId="4" type="noConversion"/>
  </si>
  <si>
    <t>실수령액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</si>
</sst>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"/>
    <numFmt numFmtId="177" formatCode="#,##0_);[Red]\(#,##0\)"/>
    <numFmt numFmtId="178" formatCode="h:mm;@"/>
  </numFmts>
  <fonts count="1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8"/>
      <name val="돋움"/>
      <family val="3"/>
      <charset val="129"/>
    </font>
    <font>
      <b/>
      <sz val="16"/>
      <name val="돋움"/>
      <family val="3"/>
      <charset val="129"/>
    </font>
    <font>
      <sz val="18"/>
      <name val="돋움"/>
      <family val="3"/>
      <charset val="129"/>
    </font>
    <font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4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3" fillId="0" borderId="0"/>
    <xf numFmtId="0" fontId="3" fillId="0" borderId="0"/>
  </cellStyleXfs>
  <cellXfs count="47">
    <xf numFmtId="0" fontId="0" fillId="0" borderId="0" xfId="0"/>
    <xf numFmtId="0" fontId="8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41" fontId="2" fillId="0" borderId="1" xfId="2" applyFont="1" applyBorder="1" applyAlignment="1">
      <alignment vertical="center"/>
    </xf>
    <xf numFmtId="41" fontId="2" fillId="0" borderId="1" xfId="0" applyNumberFormat="1" applyFont="1" applyBorder="1" applyAlignment="1">
      <alignment vertical="center"/>
    </xf>
    <xf numFmtId="9" fontId="2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Alignment="1">
      <alignment vertical="center"/>
    </xf>
    <xf numFmtId="14" fontId="0" fillId="0" borderId="0" xfId="0" applyNumberFormat="1" applyBorder="1" applyAlignment="1">
      <alignment horizontal="center" vertical="center"/>
    </xf>
    <xf numFmtId="41" fontId="0" fillId="0" borderId="0" xfId="2" applyFont="1" applyBorder="1" applyAlignment="1">
      <alignment vertical="center"/>
    </xf>
    <xf numFmtId="0" fontId="0" fillId="0" borderId="0" xfId="3" applyNumberFormat="1" applyFont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1" xfId="2" applyFont="1" applyBorder="1" applyAlignment="1">
      <alignment horizontal="right" vertical="center"/>
    </xf>
    <xf numFmtId="0" fontId="7" fillId="0" borderId="1" xfId="4" applyFont="1" applyFill="1" applyBorder="1" applyAlignment="1">
      <alignment horizontal="center" vertical="center"/>
    </xf>
    <xf numFmtId="0" fontId="7" fillId="0" borderId="1" xfId="5" applyFont="1" applyFill="1" applyBorder="1" applyAlignment="1">
      <alignment horizontal="center" vertical="center"/>
    </xf>
    <xf numFmtId="41" fontId="7" fillId="0" borderId="1" xfId="2" applyFont="1" applyFill="1" applyBorder="1" applyAlignment="1">
      <alignment horizontal="right" vertical="center"/>
    </xf>
    <xf numFmtId="58" fontId="2" fillId="0" borderId="1" xfId="0" applyNumberFormat="1" applyFont="1" applyBorder="1" applyAlignment="1">
      <alignment horizontal="center" vertical="center"/>
    </xf>
    <xf numFmtId="9" fontId="2" fillId="0" borderId="1" xfId="1" applyBorder="1" applyAlignment="1">
      <alignment horizontal="center" vertical="center"/>
    </xf>
    <xf numFmtId="0" fontId="0" fillId="0" borderId="0" xfId="0" applyFill="1" applyAlignment="1">
      <alignment vertical="center"/>
    </xf>
    <xf numFmtId="41" fontId="2" fillId="0" borderId="1" xfId="2" applyFill="1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  <xf numFmtId="41" fontId="0" fillId="0" borderId="1" xfId="2" applyFont="1" applyFill="1" applyBorder="1" applyAlignment="1">
      <alignment horizontal="center" vertical="center"/>
    </xf>
    <xf numFmtId="41" fontId="0" fillId="0" borderId="1" xfId="2" applyFont="1" applyBorder="1" applyAlignment="1">
      <alignment vertical="center"/>
    </xf>
    <xf numFmtId="9" fontId="0" fillId="0" borderId="1" xfId="0" applyNumberFormat="1" applyBorder="1" applyAlignment="1">
      <alignment vertical="center"/>
    </xf>
    <xf numFmtId="178" fontId="0" fillId="0" borderId="1" xfId="0" applyNumberFormat="1" applyFill="1" applyBorder="1" applyAlignment="1">
      <alignment horizontal="center" vertical="center"/>
    </xf>
    <xf numFmtId="18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6">
    <cellStyle name="백분율" xfId="1" builtinId="5"/>
    <cellStyle name="쉼표 [0]" xfId="2" builtinId="6"/>
    <cellStyle name="통화 [0]" xfId="3" builtinId="7"/>
    <cellStyle name="표준" xfId="0" builtinId="0"/>
    <cellStyle name="표준_Sheet3" xfId="5"/>
    <cellStyle name="표준_건물임대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85455083776771"/>
          <c:y val="7.2222418138070038E-2"/>
          <c:w val="0.67001784642261863"/>
          <c:h val="0.800002170144775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2007년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차트작업!$B$4:$F$4</c:f>
              <c:numCache>
                <c:formatCode>_(* #,##0_);_(* \(#,##0\);_(* "-"_);_(@_)</c:formatCode>
                <c:ptCount val="5"/>
                <c:pt idx="0">
                  <c:v>211662</c:v>
                </c:pt>
                <c:pt idx="1">
                  <c:v>6166</c:v>
                </c:pt>
                <c:pt idx="2">
                  <c:v>335962</c:v>
                </c:pt>
                <c:pt idx="3">
                  <c:v>127643</c:v>
                </c:pt>
                <c:pt idx="4">
                  <c:v>200861</c:v>
                </c:pt>
              </c:numCache>
            </c:numRef>
          </c:val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2008년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차트작업!$B$5:$F$5</c:f>
              <c:numCache>
                <c:formatCode>_(* #,##0_);_(* \(#,##0\);_(* "-"_);_(@_)</c:formatCode>
                <c:ptCount val="5"/>
                <c:pt idx="0">
                  <c:v>215822</c:v>
                </c:pt>
                <c:pt idx="1">
                  <c:v>5870</c:v>
                </c:pt>
                <c:pt idx="2">
                  <c:v>338962</c:v>
                </c:pt>
                <c:pt idx="3">
                  <c:v>124182</c:v>
                </c:pt>
                <c:pt idx="4">
                  <c:v>205222</c:v>
                </c:pt>
              </c:numCache>
            </c:numRef>
          </c:val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2009년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차트작업!$B$6:$F$6</c:f>
              <c:numCache>
                <c:formatCode>_(* #,##0_);_(* \(#,##0\);_(* "-"_);_(@_)</c:formatCode>
                <c:ptCount val="5"/>
                <c:pt idx="0">
                  <c:v>231990</c:v>
                </c:pt>
                <c:pt idx="1">
                  <c:v>5838</c:v>
                </c:pt>
                <c:pt idx="2">
                  <c:v>361875</c:v>
                </c:pt>
                <c:pt idx="3">
                  <c:v>126378</c:v>
                </c:pt>
                <c:pt idx="4">
                  <c:v>223992</c:v>
                </c:pt>
              </c:numCache>
            </c:numRef>
          </c:val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2010년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차트작업!$B$7:$F$7</c:f>
              <c:numCache>
                <c:formatCode>_(* #,##0_);_(* \(#,##0\);_(* "-"_);_(@_)</c:formatCode>
                <c:ptCount val="5"/>
                <c:pt idx="0">
                  <c:v>226878</c:v>
                </c:pt>
                <c:pt idx="1">
                  <c:v>5505</c:v>
                </c:pt>
                <c:pt idx="2">
                  <c:v>352458</c:v>
                </c:pt>
                <c:pt idx="3">
                  <c:v>116902</c:v>
                </c:pt>
                <c:pt idx="4">
                  <c:v>223665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830080"/>
        <c:axId val="104831616"/>
      </c:barChart>
      <c:catAx>
        <c:axId val="104830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04831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4831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_);_(@_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04830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929788803700802"/>
          <c:y val="0.36111209069035033"/>
          <c:w val="0.12730339082029757"/>
          <c:h val="0.225000610353218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33" r="0.75000000000000033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1" applyPatternFormats="1" applyAlignmentFormats="0" applyWidthHeightFormats="0">
  <queryTableRefresh nextId="9">
    <queryTableFields count="8">
      <queryTableField id="1" name="날짜"/>
      <queryTableField id="3" dataBound="0" fillFormulas="1"/>
      <queryTableField id="4" name="제품명"/>
      <queryTableField id="2" name="구분"/>
      <queryTableField id="5" name="제품단가"/>
      <queryTableField id="6" name="수량"/>
      <queryTableField id="7" name="입금금액"/>
      <queryTableField id="8" dataBound="0" fillFormulas="1"/>
    </queryTableFields>
    <queryTableDeletedFields count="1">
      <deletedField name="코드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"/>
  <sheetViews>
    <sheetView tabSelected="1" workbookViewId="0"/>
  </sheetViews>
  <sheetFormatPr defaultRowHeight="13.5" x14ac:dyDescent="0.15"/>
  <cols>
    <col min="1" max="1" width="11.44140625" style="12" customWidth="1"/>
    <col min="2" max="2" width="7.5546875" style="12" bestFit="1" customWidth="1"/>
    <col min="3" max="3" width="9.21875" style="12" bestFit="1" customWidth="1"/>
    <col min="4" max="4" width="8.21875" style="12" bestFit="1" customWidth="1"/>
    <col min="5" max="5" width="6.5546875" style="12" bestFit="1" customWidth="1"/>
    <col min="6" max="6" width="10.5546875" style="12" customWidth="1"/>
    <col min="7" max="7" width="8.21875" style="12" bestFit="1" customWidth="1"/>
    <col min="8" max="16384" width="8.88671875" style="12"/>
  </cols>
  <sheetData>
    <row r="1" spans="1:7" x14ac:dyDescent="0.15">
      <c r="A1" s="18" t="s">
        <v>25</v>
      </c>
      <c r="B1" s="19"/>
      <c r="C1" s="19"/>
      <c r="D1" s="19"/>
      <c r="E1" s="19"/>
      <c r="F1" s="19"/>
      <c r="G1" s="19"/>
    </row>
    <row r="2" spans="1:7" ht="14.25" customHeight="1" x14ac:dyDescent="0.15">
      <c r="A2" s="19"/>
      <c r="B2" s="19"/>
      <c r="C2" s="19"/>
      <c r="D2" s="19"/>
      <c r="E2" s="19"/>
      <c r="F2" s="19"/>
      <c r="G2" s="19"/>
    </row>
  </sheetData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/>
  </sheetViews>
  <sheetFormatPr defaultRowHeight="13.5" x14ac:dyDescent="0.15"/>
  <cols>
    <col min="1" max="1" width="9.6640625" style="8" customWidth="1"/>
    <col min="2" max="2" width="11.44140625" style="8" bestFit="1" customWidth="1"/>
    <col min="3" max="3" width="10.6640625" style="8" customWidth="1"/>
    <col min="4" max="4" width="10.5546875" style="8" bestFit="1" customWidth="1"/>
    <col min="5" max="5" width="9.44140625" style="8" customWidth="1"/>
    <col min="6" max="6" width="12.77734375" style="8" bestFit="1" customWidth="1"/>
    <col min="7" max="16384" width="8.88671875" style="9"/>
  </cols>
  <sheetData>
    <row r="1" spans="1:7" x14ac:dyDescent="0.15">
      <c r="A1" s="7" t="s">
        <v>37</v>
      </c>
      <c r="B1" s="7"/>
      <c r="C1" s="7"/>
      <c r="D1" s="7"/>
      <c r="E1" s="7"/>
      <c r="F1" s="7"/>
    </row>
    <row r="2" spans="1:7" x14ac:dyDescent="0.15">
      <c r="A2" s="7"/>
      <c r="B2" s="7"/>
      <c r="C2" s="7"/>
      <c r="D2" s="7"/>
      <c r="E2" s="7"/>
    </row>
    <row r="3" spans="1:7" x14ac:dyDescent="0.15">
      <c r="A3" s="7"/>
      <c r="B3" s="7"/>
      <c r="C3" s="7"/>
      <c r="D3" s="7"/>
      <c r="E3" s="7"/>
      <c r="F3" s="10">
        <v>40633</v>
      </c>
    </row>
    <row r="4" spans="1:7" x14ac:dyDescent="0.15">
      <c r="A4" s="8" t="s">
        <v>188</v>
      </c>
      <c r="B4" s="8" t="s">
        <v>189</v>
      </c>
      <c r="C4" s="8" t="s">
        <v>190</v>
      </c>
      <c r="F4" s="8" t="s">
        <v>191</v>
      </c>
    </row>
    <row r="5" spans="1:7" x14ac:dyDescent="0.15">
      <c r="A5" s="11"/>
      <c r="B5" s="11"/>
      <c r="C5" s="11" t="s">
        <v>38</v>
      </c>
      <c r="D5" s="11" t="s">
        <v>39</v>
      </c>
      <c r="E5" s="11" t="s">
        <v>40</v>
      </c>
      <c r="F5" s="11"/>
      <c r="G5" s="12"/>
    </row>
    <row r="6" spans="1:7" x14ac:dyDescent="0.15">
      <c r="A6" s="11" t="s">
        <v>186</v>
      </c>
      <c r="B6" s="13" t="s">
        <v>27</v>
      </c>
      <c r="C6" s="14">
        <v>1254</v>
      </c>
      <c r="D6" s="14">
        <v>1257</v>
      </c>
      <c r="E6" s="14">
        <v>3100</v>
      </c>
      <c r="F6" s="15">
        <f>AVERAGE(C6:E6)</f>
        <v>1870.3333333333333</v>
      </c>
      <c r="G6" s="12"/>
    </row>
    <row r="7" spans="1:7" x14ac:dyDescent="0.15">
      <c r="A7" s="11" t="s">
        <v>187</v>
      </c>
      <c r="B7" s="13" t="s">
        <v>27</v>
      </c>
      <c r="C7" s="14">
        <v>2351</v>
      </c>
      <c r="D7" s="14">
        <v>1358</v>
      </c>
      <c r="E7" s="14">
        <v>2400</v>
      </c>
      <c r="F7" s="15">
        <f t="shared" ref="F7:F14" si="0">AVERAGE(C7:E7)</f>
        <v>2036.3333333333333</v>
      </c>
    </row>
    <row r="8" spans="1:7" x14ac:dyDescent="0.15">
      <c r="A8" s="11" t="s">
        <v>28</v>
      </c>
      <c r="B8" s="13" t="s">
        <v>29</v>
      </c>
      <c r="C8" s="14">
        <v>1000</v>
      </c>
      <c r="D8" s="14">
        <v>2658</v>
      </c>
      <c r="E8" s="14">
        <v>2511</v>
      </c>
      <c r="F8" s="15">
        <f t="shared" si="0"/>
        <v>2056.3333333333335</v>
      </c>
    </row>
    <row r="9" spans="1:7" x14ac:dyDescent="0.15">
      <c r="A9" s="11" t="s">
        <v>30</v>
      </c>
      <c r="B9" s="13" t="s">
        <v>31</v>
      </c>
      <c r="C9" s="14">
        <v>2348</v>
      </c>
      <c r="D9" s="14">
        <v>2177</v>
      </c>
      <c r="E9" s="14">
        <v>2375</v>
      </c>
      <c r="F9" s="15">
        <f t="shared" si="0"/>
        <v>2300</v>
      </c>
    </row>
    <row r="10" spans="1:7" x14ac:dyDescent="0.15">
      <c r="A10" s="16" t="s">
        <v>32</v>
      </c>
      <c r="B10" s="13" t="s">
        <v>27</v>
      </c>
      <c r="C10" s="14">
        <v>1658</v>
      </c>
      <c r="D10" s="14">
        <v>3111</v>
      </c>
      <c r="E10" s="14">
        <v>2681</v>
      </c>
      <c r="F10" s="15">
        <f t="shared" si="0"/>
        <v>2483.3333333333335</v>
      </c>
    </row>
    <row r="11" spans="1:7" x14ac:dyDescent="0.15">
      <c r="A11" s="16" t="s">
        <v>33</v>
      </c>
      <c r="B11" s="13" t="s">
        <v>29</v>
      </c>
      <c r="C11" s="14">
        <v>3521</v>
      </c>
      <c r="D11" s="14">
        <v>2578</v>
      </c>
      <c r="E11" s="14">
        <v>3810</v>
      </c>
      <c r="F11" s="15">
        <f t="shared" si="0"/>
        <v>3303</v>
      </c>
    </row>
    <row r="12" spans="1:7" x14ac:dyDescent="0.15">
      <c r="A12" s="11" t="s">
        <v>34</v>
      </c>
      <c r="B12" s="13" t="s">
        <v>29</v>
      </c>
      <c r="C12" s="14">
        <v>2485</v>
      </c>
      <c r="D12" s="14">
        <v>2469</v>
      </c>
      <c r="E12" s="14">
        <v>2698</v>
      </c>
      <c r="F12" s="15">
        <f t="shared" si="0"/>
        <v>2550.6666666666665</v>
      </c>
    </row>
    <row r="13" spans="1:7" x14ac:dyDescent="0.15">
      <c r="A13" s="11" t="s">
        <v>35</v>
      </c>
      <c r="B13" s="13" t="s">
        <v>31</v>
      </c>
      <c r="C13" s="14">
        <v>3214</v>
      </c>
      <c r="D13" s="14">
        <v>2938</v>
      </c>
      <c r="E13" s="14">
        <v>1257</v>
      </c>
      <c r="F13" s="15">
        <f t="shared" si="0"/>
        <v>2469.6666666666665</v>
      </c>
    </row>
    <row r="14" spans="1:7" x14ac:dyDescent="0.15">
      <c r="A14" s="11" t="s">
        <v>36</v>
      </c>
      <c r="B14" s="13" t="s">
        <v>31</v>
      </c>
      <c r="C14" s="14">
        <v>1111</v>
      </c>
      <c r="D14" s="14">
        <v>1685</v>
      </c>
      <c r="E14" s="14">
        <v>1874</v>
      </c>
      <c r="F14" s="15">
        <f t="shared" si="0"/>
        <v>1556.6666666666667</v>
      </c>
    </row>
    <row r="15" spans="1:7" x14ac:dyDescent="0.15">
      <c r="A15" s="17"/>
      <c r="F15" s="17"/>
    </row>
  </sheetData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6"/>
  <sheetViews>
    <sheetView workbookViewId="0">
      <selection sqref="A1:G1"/>
    </sheetView>
  </sheetViews>
  <sheetFormatPr defaultRowHeight="13.5" x14ac:dyDescent="0.15"/>
  <cols>
    <col min="1" max="1" width="13.77734375" style="8" customWidth="1"/>
    <col min="2" max="2" width="8.33203125" style="8" customWidth="1"/>
    <col min="3" max="3" width="8.21875" style="8" bestFit="1" customWidth="1"/>
    <col min="4" max="5" width="10.6640625" style="8" bestFit="1" customWidth="1"/>
    <col min="6" max="6" width="8.77734375" style="8" customWidth="1"/>
    <col min="7" max="7" width="11.44140625" style="8" bestFit="1" customWidth="1"/>
    <col min="8" max="16384" width="8.88671875" style="9"/>
  </cols>
  <sheetData>
    <row r="1" spans="1:7" ht="20.25" x14ac:dyDescent="0.15">
      <c r="A1" s="41" t="s">
        <v>14</v>
      </c>
      <c r="B1" s="41"/>
      <c r="C1" s="41"/>
      <c r="D1" s="41"/>
      <c r="E1" s="41"/>
      <c r="F1" s="41"/>
      <c r="G1" s="41"/>
    </row>
    <row r="3" spans="1:7" x14ac:dyDescent="0.1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</row>
    <row r="4" spans="1:7" x14ac:dyDescent="0.15">
      <c r="A4" s="20">
        <v>40381</v>
      </c>
      <c r="B4" s="21" t="s">
        <v>15</v>
      </c>
      <c r="C4" s="21" t="s">
        <v>16</v>
      </c>
      <c r="D4" s="21" t="s">
        <v>17</v>
      </c>
      <c r="E4" s="22">
        <v>4000</v>
      </c>
      <c r="F4" s="21">
        <v>144</v>
      </c>
      <c r="G4" s="22">
        <f t="shared" ref="G4:G16" si="0">E4*F4</f>
        <v>576000</v>
      </c>
    </row>
    <row r="5" spans="1:7" x14ac:dyDescent="0.15">
      <c r="A5" s="20">
        <v>40382</v>
      </c>
      <c r="B5" s="21" t="s">
        <v>15</v>
      </c>
      <c r="C5" s="21" t="s">
        <v>16</v>
      </c>
      <c r="D5" s="21" t="s">
        <v>7</v>
      </c>
      <c r="E5" s="22">
        <v>4000</v>
      </c>
      <c r="F5" s="21">
        <v>135</v>
      </c>
      <c r="G5" s="22">
        <f t="shared" si="0"/>
        <v>540000</v>
      </c>
    </row>
    <row r="6" spans="1:7" x14ac:dyDescent="0.15">
      <c r="A6" s="20">
        <v>40383</v>
      </c>
      <c r="B6" s="21" t="s">
        <v>15</v>
      </c>
      <c r="C6" s="21" t="s">
        <v>8</v>
      </c>
      <c r="D6" s="21" t="s">
        <v>7</v>
      </c>
      <c r="E6" s="22">
        <v>4000</v>
      </c>
      <c r="F6" s="21">
        <v>125</v>
      </c>
      <c r="G6" s="22">
        <f t="shared" si="0"/>
        <v>500000</v>
      </c>
    </row>
    <row r="7" spans="1:7" x14ac:dyDescent="0.15">
      <c r="A7" s="20">
        <v>40399</v>
      </c>
      <c r="B7" s="21" t="s">
        <v>18</v>
      </c>
      <c r="C7" s="21" t="s">
        <v>19</v>
      </c>
      <c r="D7" s="21" t="s">
        <v>20</v>
      </c>
      <c r="E7" s="22">
        <v>4500</v>
      </c>
      <c r="F7" s="21">
        <v>117</v>
      </c>
      <c r="G7" s="22">
        <f t="shared" si="0"/>
        <v>526500</v>
      </c>
    </row>
    <row r="8" spans="1:7" x14ac:dyDescent="0.15">
      <c r="A8" s="20">
        <v>40431</v>
      </c>
      <c r="B8" s="21" t="s">
        <v>18</v>
      </c>
      <c r="C8" s="21" t="s">
        <v>19</v>
      </c>
      <c r="D8" s="21" t="s">
        <v>17</v>
      </c>
      <c r="E8" s="22">
        <v>4500</v>
      </c>
      <c r="F8" s="21">
        <v>115</v>
      </c>
      <c r="G8" s="22">
        <f t="shared" si="0"/>
        <v>517500</v>
      </c>
    </row>
    <row r="9" spans="1:7" x14ac:dyDescent="0.15">
      <c r="A9" s="20">
        <v>40396</v>
      </c>
      <c r="B9" s="21" t="s">
        <v>21</v>
      </c>
      <c r="C9" s="21" t="s">
        <v>9</v>
      </c>
      <c r="D9" s="21" t="s">
        <v>7</v>
      </c>
      <c r="E9" s="22">
        <v>5500</v>
      </c>
      <c r="F9" s="21">
        <v>124</v>
      </c>
      <c r="G9" s="22">
        <f t="shared" si="0"/>
        <v>682000</v>
      </c>
    </row>
    <row r="10" spans="1:7" x14ac:dyDescent="0.15">
      <c r="A10" s="20">
        <v>40430</v>
      </c>
      <c r="B10" s="21" t="s">
        <v>21</v>
      </c>
      <c r="C10" s="21" t="s">
        <v>22</v>
      </c>
      <c r="D10" s="21" t="s">
        <v>10</v>
      </c>
      <c r="E10" s="22">
        <v>5500</v>
      </c>
      <c r="F10" s="21">
        <v>133</v>
      </c>
      <c r="G10" s="22">
        <f t="shared" si="0"/>
        <v>731500</v>
      </c>
    </row>
    <row r="11" spans="1:7" x14ac:dyDescent="0.15">
      <c r="A11" s="20">
        <v>40460</v>
      </c>
      <c r="B11" s="21" t="s">
        <v>15</v>
      </c>
      <c r="C11" s="21" t="s">
        <v>8</v>
      </c>
      <c r="D11" s="21" t="s">
        <v>20</v>
      </c>
      <c r="E11" s="22">
        <v>4000</v>
      </c>
      <c r="F11" s="21">
        <v>145</v>
      </c>
      <c r="G11" s="22">
        <f t="shared" si="0"/>
        <v>580000</v>
      </c>
    </row>
    <row r="12" spans="1:7" x14ac:dyDescent="0.15">
      <c r="A12" s="20">
        <v>40461</v>
      </c>
      <c r="B12" s="21" t="s">
        <v>21</v>
      </c>
      <c r="C12" s="21" t="s">
        <v>22</v>
      </c>
      <c r="D12" s="21" t="s">
        <v>10</v>
      </c>
      <c r="E12" s="22">
        <v>5500</v>
      </c>
      <c r="F12" s="21">
        <v>135</v>
      </c>
      <c r="G12" s="22">
        <f t="shared" si="0"/>
        <v>742500</v>
      </c>
    </row>
    <row r="13" spans="1:7" x14ac:dyDescent="0.15">
      <c r="A13" s="20">
        <v>40462</v>
      </c>
      <c r="B13" s="21" t="s">
        <v>15</v>
      </c>
      <c r="C13" s="21" t="s">
        <v>8</v>
      </c>
      <c r="D13" s="21" t="s">
        <v>7</v>
      </c>
      <c r="E13" s="22">
        <v>4000</v>
      </c>
      <c r="F13" s="21">
        <v>166</v>
      </c>
      <c r="G13" s="22">
        <f t="shared" si="0"/>
        <v>664000</v>
      </c>
    </row>
    <row r="14" spans="1:7" x14ac:dyDescent="0.15">
      <c r="A14" s="20">
        <v>40493</v>
      </c>
      <c r="B14" s="21" t="s">
        <v>18</v>
      </c>
      <c r="C14" s="21" t="s">
        <v>19</v>
      </c>
      <c r="D14" s="21" t="s">
        <v>20</v>
      </c>
      <c r="E14" s="22">
        <v>4500</v>
      </c>
      <c r="F14" s="21">
        <v>155</v>
      </c>
      <c r="G14" s="22">
        <f t="shared" si="0"/>
        <v>697500</v>
      </c>
    </row>
    <row r="15" spans="1:7" x14ac:dyDescent="0.15">
      <c r="A15" s="20">
        <v>40480</v>
      </c>
      <c r="B15" s="21" t="s">
        <v>21</v>
      </c>
      <c r="C15" s="21" t="s">
        <v>22</v>
      </c>
      <c r="D15" s="21" t="s">
        <v>10</v>
      </c>
      <c r="E15" s="22">
        <v>5500</v>
      </c>
      <c r="F15" s="21">
        <v>67</v>
      </c>
      <c r="G15" s="22">
        <f t="shared" si="0"/>
        <v>368500</v>
      </c>
    </row>
    <row r="16" spans="1:7" x14ac:dyDescent="0.15">
      <c r="A16" s="20">
        <v>40484</v>
      </c>
      <c r="B16" s="21" t="s">
        <v>15</v>
      </c>
      <c r="C16" s="21" t="s">
        <v>16</v>
      </c>
      <c r="D16" s="21" t="s">
        <v>20</v>
      </c>
      <c r="E16" s="22">
        <v>4000</v>
      </c>
      <c r="F16" s="21">
        <v>54</v>
      </c>
      <c r="G16" s="22">
        <f t="shared" si="0"/>
        <v>216000</v>
      </c>
    </row>
  </sheetData>
  <mergeCells count="1">
    <mergeCell ref="A1:G1"/>
  </mergeCells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3"/>
  <sheetViews>
    <sheetView workbookViewId="0"/>
  </sheetViews>
  <sheetFormatPr defaultRowHeight="13.5" x14ac:dyDescent="0.15"/>
  <cols>
    <col min="1" max="2" width="12.6640625" style="19" bestFit="1" customWidth="1"/>
    <col min="3" max="3" width="11.5546875" style="19" bestFit="1" customWidth="1"/>
    <col min="4" max="4" width="11.6640625" style="19" bestFit="1" customWidth="1"/>
    <col min="5" max="5" width="3.77734375" style="19" customWidth="1"/>
    <col min="6" max="6" width="8.21875" style="19" bestFit="1" customWidth="1"/>
    <col min="7" max="7" width="7.109375" style="19" customWidth="1"/>
    <col min="8" max="10" width="11.5546875" style="19" bestFit="1" customWidth="1"/>
    <col min="11" max="11" width="7.109375" style="19" customWidth="1"/>
    <col min="12" max="16384" width="8.88671875" style="19"/>
  </cols>
  <sheetData>
    <row r="1" spans="1:11" x14ac:dyDescent="0.15">
      <c r="A1" s="19" t="s">
        <v>41</v>
      </c>
      <c r="F1" s="19" t="s">
        <v>42</v>
      </c>
    </row>
    <row r="2" spans="1:11" x14ac:dyDescent="0.15">
      <c r="A2" s="21" t="s">
        <v>23</v>
      </c>
      <c r="B2" s="21" t="s">
        <v>43</v>
      </c>
      <c r="C2" s="21" t="s">
        <v>44</v>
      </c>
      <c r="D2" s="23" t="s">
        <v>45</v>
      </c>
      <c r="F2" s="24" t="s">
        <v>46</v>
      </c>
      <c r="G2" s="24" t="s">
        <v>47</v>
      </c>
      <c r="H2" s="24" t="s">
        <v>48</v>
      </c>
      <c r="I2" s="24" t="s">
        <v>49</v>
      </c>
      <c r="J2" s="24" t="s">
        <v>50</v>
      </c>
      <c r="K2" s="23" t="s">
        <v>51</v>
      </c>
    </row>
    <row r="3" spans="1:11" x14ac:dyDescent="0.15">
      <c r="A3" s="21" t="s">
        <v>24</v>
      </c>
      <c r="B3" s="34">
        <v>24578500</v>
      </c>
      <c r="C3" s="26">
        <v>1400000</v>
      </c>
      <c r="D3" s="26"/>
      <c r="F3" s="21" t="s">
        <v>52</v>
      </c>
      <c r="G3" s="21">
        <v>90</v>
      </c>
      <c r="H3" s="21">
        <v>50</v>
      </c>
      <c r="I3" s="21">
        <v>80</v>
      </c>
      <c r="J3" s="21">
        <f t="shared" ref="J3:J8" si="0">SUM(G3:I3)</f>
        <v>220</v>
      </c>
      <c r="K3" s="21"/>
    </row>
    <row r="4" spans="1:11" x14ac:dyDescent="0.15">
      <c r="A4" s="21" t="s">
        <v>53</v>
      </c>
      <c r="B4" s="34">
        <v>36498520</v>
      </c>
      <c r="C4" s="26">
        <v>2900000</v>
      </c>
      <c r="D4" s="26"/>
      <c r="F4" s="21" t="s">
        <v>54</v>
      </c>
      <c r="G4" s="21">
        <v>70</v>
      </c>
      <c r="H4" s="21">
        <v>80</v>
      </c>
      <c r="I4" s="21">
        <v>50</v>
      </c>
      <c r="J4" s="21">
        <f t="shared" si="0"/>
        <v>200</v>
      </c>
      <c r="K4" s="21"/>
    </row>
    <row r="5" spans="1:11" x14ac:dyDescent="0.15">
      <c r="A5" s="21" t="s">
        <v>55</v>
      </c>
      <c r="B5" s="34">
        <v>36548720</v>
      </c>
      <c r="C5" s="26">
        <v>2900000</v>
      </c>
      <c r="D5" s="26"/>
      <c r="F5" s="21" t="s">
        <v>56</v>
      </c>
      <c r="G5" s="21">
        <v>100</v>
      </c>
      <c r="H5" s="21">
        <v>90</v>
      </c>
      <c r="I5" s="21">
        <v>90</v>
      </c>
      <c r="J5" s="21">
        <f t="shared" si="0"/>
        <v>280</v>
      </c>
      <c r="K5" s="21"/>
    </row>
    <row r="6" spans="1:11" x14ac:dyDescent="0.15">
      <c r="A6" s="21" t="s">
        <v>57</v>
      </c>
      <c r="B6" s="34">
        <v>48685000</v>
      </c>
      <c r="C6" s="26">
        <v>5800000</v>
      </c>
      <c r="D6" s="26"/>
      <c r="F6" s="21" t="s">
        <v>58</v>
      </c>
      <c r="G6" s="21">
        <v>50</v>
      </c>
      <c r="H6" s="21">
        <v>100</v>
      </c>
      <c r="I6" s="21">
        <v>100</v>
      </c>
      <c r="J6" s="21">
        <f t="shared" si="0"/>
        <v>250</v>
      </c>
      <c r="K6" s="21"/>
    </row>
    <row r="7" spans="1:11" x14ac:dyDescent="0.15">
      <c r="A7" s="21" t="s">
        <v>59</v>
      </c>
      <c r="B7" s="34">
        <v>61572700</v>
      </c>
      <c r="C7" s="26">
        <v>9000000</v>
      </c>
      <c r="D7" s="26"/>
      <c r="F7" s="21" t="s">
        <v>60</v>
      </c>
      <c r="G7" s="21">
        <v>80</v>
      </c>
      <c r="H7" s="21">
        <v>70</v>
      </c>
      <c r="I7" s="21">
        <v>60</v>
      </c>
      <c r="J7" s="21">
        <f t="shared" si="0"/>
        <v>210</v>
      </c>
      <c r="K7" s="21"/>
    </row>
    <row r="8" spans="1:11" x14ac:dyDescent="0.15">
      <c r="A8" s="24" t="s">
        <v>61</v>
      </c>
      <c r="B8" s="35">
        <v>48357100</v>
      </c>
      <c r="C8" s="26">
        <v>5800000</v>
      </c>
      <c r="D8" s="26"/>
      <c r="F8" s="21" t="s">
        <v>62</v>
      </c>
      <c r="G8" s="24">
        <v>60</v>
      </c>
      <c r="H8" s="24">
        <v>60</v>
      </c>
      <c r="I8" s="24">
        <v>70</v>
      </c>
      <c r="J8" s="21">
        <f t="shared" si="0"/>
        <v>190</v>
      </c>
      <c r="K8" s="21"/>
    </row>
    <row r="10" spans="1:11" x14ac:dyDescent="0.15">
      <c r="A10" s="19" t="s">
        <v>63</v>
      </c>
    </row>
    <row r="11" spans="1:11" x14ac:dyDescent="0.15">
      <c r="A11" s="21" t="s">
        <v>43</v>
      </c>
      <c r="B11" s="21" t="s">
        <v>64</v>
      </c>
    </row>
    <row r="12" spans="1:11" x14ac:dyDescent="0.15">
      <c r="A12" s="36">
        <v>20000000</v>
      </c>
      <c r="B12" s="37">
        <v>0.15</v>
      </c>
    </row>
    <row r="13" spans="1:11" x14ac:dyDescent="0.15">
      <c r="A13" s="36">
        <v>40000000</v>
      </c>
      <c r="B13" s="37">
        <v>0.2</v>
      </c>
      <c r="F13" s="19" t="s">
        <v>65</v>
      </c>
    </row>
    <row r="14" spans="1:11" x14ac:dyDescent="0.15">
      <c r="A14" s="36">
        <v>60000000</v>
      </c>
      <c r="B14" s="37">
        <v>0.25</v>
      </c>
      <c r="F14" s="21" t="s">
        <v>199</v>
      </c>
      <c r="G14" s="24" t="s">
        <v>200</v>
      </c>
      <c r="H14" s="24" t="s">
        <v>201</v>
      </c>
      <c r="I14" s="24" t="s">
        <v>202</v>
      </c>
      <c r="J14" s="21" t="s">
        <v>203</v>
      </c>
    </row>
    <row r="15" spans="1:11" x14ac:dyDescent="0.15">
      <c r="F15" s="21" t="s">
        <v>66</v>
      </c>
      <c r="G15" s="21" t="s">
        <v>67</v>
      </c>
      <c r="H15" s="34">
        <v>1600000</v>
      </c>
      <c r="I15" s="34">
        <v>600000</v>
      </c>
      <c r="J15" s="34">
        <f t="shared" ref="J15:J22" si="1">SUM(H15:I15)</f>
        <v>2200000</v>
      </c>
    </row>
    <row r="16" spans="1:11" x14ac:dyDescent="0.15">
      <c r="A16" s="25" t="s">
        <v>68</v>
      </c>
      <c r="B16" s="25"/>
      <c r="F16" s="21" t="s">
        <v>69</v>
      </c>
      <c r="G16" s="21" t="s">
        <v>70</v>
      </c>
      <c r="H16" s="34">
        <v>1800000</v>
      </c>
      <c r="I16" s="34">
        <v>750000</v>
      </c>
      <c r="J16" s="34">
        <f t="shared" si="1"/>
        <v>2550000</v>
      </c>
    </row>
    <row r="17" spans="1:10" x14ac:dyDescent="0.15">
      <c r="A17" s="24" t="s">
        <v>71</v>
      </c>
      <c r="B17" s="24" t="s">
        <v>72</v>
      </c>
      <c r="C17" s="21" t="s">
        <v>73</v>
      </c>
      <c r="D17" s="23" t="s">
        <v>74</v>
      </c>
      <c r="F17" s="21" t="s">
        <v>75</v>
      </c>
      <c r="G17" s="21" t="s">
        <v>70</v>
      </c>
      <c r="H17" s="34">
        <v>2000000</v>
      </c>
      <c r="I17" s="34">
        <v>800000</v>
      </c>
      <c r="J17" s="34">
        <f t="shared" si="1"/>
        <v>2800000</v>
      </c>
    </row>
    <row r="18" spans="1:10" x14ac:dyDescent="0.15">
      <c r="A18" s="24" t="s">
        <v>198</v>
      </c>
      <c r="B18" s="38">
        <v>0.42708333333333331</v>
      </c>
      <c r="C18" s="21">
        <v>5</v>
      </c>
      <c r="D18" s="38"/>
      <c r="E18" s="39"/>
      <c r="F18" s="21" t="s">
        <v>76</v>
      </c>
      <c r="G18" s="21" t="s">
        <v>67</v>
      </c>
      <c r="H18" s="34">
        <v>1600000</v>
      </c>
      <c r="I18" s="34">
        <v>500000</v>
      </c>
      <c r="J18" s="34">
        <f t="shared" si="1"/>
        <v>2100000</v>
      </c>
    </row>
    <row r="19" spans="1:10" x14ac:dyDescent="0.15">
      <c r="A19" s="24" t="s">
        <v>192</v>
      </c>
      <c r="B19" s="38">
        <v>0.39583333333333331</v>
      </c>
      <c r="C19" s="21">
        <v>6</v>
      </c>
      <c r="D19" s="38"/>
      <c r="F19" s="21" t="s">
        <v>77</v>
      </c>
      <c r="G19" s="21" t="s">
        <v>67</v>
      </c>
      <c r="H19" s="34">
        <v>1800000</v>
      </c>
      <c r="I19" s="34">
        <v>700000</v>
      </c>
      <c r="J19" s="34">
        <f t="shared" si="1"/>
        <v>2500000</v>
      </c>
    </row>
    <row r="20" spans="1:10" x14ac:dyDescent="0.15">
      <c r="A20" s="24" t="s">
        <v>193</v>
      </c>
      <c r="B20" s="38">
        <v>0.4201388888888889</v>
      </c>
      <c r="C20" s="21">
        <v>4</v>
      </c>
      <c r="D20" s="38"/>
      <c r="F20" s="21" t="s">
        <v>78</v>
      </c>
      <c r="G20" s="21" t="s">
        <v>79</v>
      </c>
      <c r="H20" s="34">
        <v>2200000</v>
      </c>
      <c r="I20" s="34">
        <v>750000</v>
      </c>
      <c r="J20" s="34">
        <f t="shared" si="1"/>
        <v>2950000</v>
      </c>
    </row>
    <row r="21" spans="1:10" x14ac:dyDescent="0.15">
      <c r="A21" s="24" t="s">
        <v>195</v>
      </c>
      <c r="B21" s="38">
        <v>0.40625</v>
      </c>
      <c r="C21" s="21">
        <v>5</v>
      </c>
      <c r="D21" s="38"/>
      <c r="F21" s="21" t="s">
        <v>80</v>
      </c>
      <c r="G21" s="21" t="s">
        <v>70</v>
      </c>
      <c r="H21" s="34">
        <v>2400000</v>
      </c>
      <c r="I21" s="34">
        <v>800000</v>
      </c>
      <c r="J21" s="34">
        <f t="shared" si="1"/>
        <v>3200000</v>
      </c>
    </row>
    <row r="22" spans="1:10" x14ac:dyDescent="0.15">
      <c r="A22" s="24" t="s">
        <v>196</v>
      </c>
      <c r="B22" s="38">
        <v>0.40625</v>
      </c>
      <c r="C22" s="21">
        <v>6</v>
      </c>
      <c r="D22" s="38"/>
      <c r="F22" s="21" t="s">
        <v>81</v>
      </c>
      <c r="G22" s="21" t="s">
        <v>79</v>
      </c>
      <c r="H22" s="34">
        <v>2000000</v>
      </c>
      <c r="I22" s="34">
        <v>600000</v>
      </c>
      <c r="J22" s="34">
        <f t="shared" si="1"/>
        <v>2600000</v>
      </c>
    </row>
    <row r="23" spans="1:10" x14ac:dyDescent="0.15">
      <c r="A23" s="24" t="s">
        <v>194</v>
      </c>
      <c r="B23" s="38">
        <v>0.42708333333333331</v>
      </c>
      <c r="C23" s="21">
        <v>4</v>
      </c>
      <c r="D23" s="38"/>
    </row>
    <row r="24" spans="1:10" x14ac:dyDescent="0.15">
      <c r="A24" s="24" t="s">
        <v>197</v>
      </c>
      <c r="B24" s="38">
        <v>0.39583333333333331</v>
      </c>
      <c r="C24" s="21">
        <v>3</v>
      </c>
      <c r="D24" s="38"/>
      <c r="G24" s="42" t="s">
        <v>82</v>
      </c>
      <c r="H24" s="43"/>
      <c r="I24" s="36"/>
    </row>
    <row r="26" spans="1:10" x14ac:dyDescent="0.15">
      <c r="A26" s="19" t="s">
        <v>83</v>
      </c>
    </row>
    <row r="27" spans="1:10" x14ac:dyDescent="0.15">
      <c r="A27" s="21" t="s">
        <v>84</v>
      </c>
      <c r="B27" s="21" t="s">
        <v>85</v>
      </c>
      <c r="C27" s="21" t="s">
        <v>86</v>
      </c>
      <c r="D27" s="23" t="s">
        <v>87</v>
      </c>
      <c r="J27" s="11"/>
    </row>
    <row r="28" spans="1:10" x14ac:dyDescent="0.15">
      <c r="A28" s="21" t="s">
        <v>88</v>
      </c>
      <c r="B28" s="21" t="s">
        <v>89</v>
      </c>
      <c r="C28" s="21" t="s">
        <v>90</v>
      </c>
      <c r="D28" s="21"/>
    </row>
    <row r="29" spans="1:10" x14ac:dyDescent="0.15">
      <c r="A29" s="21" t="s">
        <v>91</v>
      </c>
      <c r="B29" s="21" t="s">
        <v>92</v>
      </c>
      <c r="C29" s="21" t="s">
        <v>93</v>
      </c>
      <c r="D29" s="21"/>
    </row>
    <row r="30" spans="1:10" x14ac:dyDescent="0.15">
      <c r="A30" s="21" t="s">
        <v>94</v>
      </c>
      <c r="B30" s="21" t="s">
        <v>95</v>
      </c>
      <c r="C30" s="21" t="s">
        <v>96</v>
      </c>
      <c r="D30" s="21"/>
    </row>
    <row r="31" spans="1:10" x14ac:dyDescent="0.15">
      <c r="A31" s="21" t="s">
        <v>97</v>
      </c>
      <c r="B31" s="21" t="s">
        <v>98</v>
      </c>
      <c r="C31" s="21" t="s">
        <v>99</v>
      </c>
      <c r="D31" s="21"/>
    </row>
    <row r="32" spans="1:10" x14ac:dyDescent="0.15">
      <c r="A32" s="21" t="s">
        <v>100</v>
      </c>
      <c r="B32" s="21" t="s">
        <v>101</v>
      </c>
      <c r="C32" s="21" t="s">
        <v>102</v>
      </c>
      <c r="D32" s="21"/>
    </row>
    <row r="33" spans="1:4" x14ac:dyDescent="0.15">
      <c r="A33" s="21" t="s">
        <v>103</v>
      </c>
      <c r="B33" s="21" t="s">
        <v>104</v>
      </c>
      <c r="C33" s="21" t="s">
        <v>105</v>
      </c>
      <c r="D33" s="21"/>
    </row>
  </sheetData>
  <mergeCells count="1">
    <mergeCell ref="G24:H24"/>
  </mergeCells>
  <phoneticPr fontId="4" type="noConversion"/>
  <printOptions horizontalCentered="1" headings="1" gridLines="1"/>
  <pageMargins left="0.39370078740157483" right="0.39370078740157483" top="0.35" bottom="0.41" header="0.28000000000000003" footer="0.19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8"/>
  <sheetViews>
    <sheetView workbookViewId="0">
      <selection sqref="A1:G1"/>
    </sheetView>
  </sheetViews>
  <sheetFormatPr defaultRowHeight="13.5" x14ac:dyDescent="0.15"/>
  <cols>
    <col min="1" max="1" width="14.109375" style="19" bestFit="1" customWidth="1"/>
    <col min="2" max="16384" width="8.88671875" style="19"/>
  </cols>
  <sheetData>
    <row r="1" spans="1:7" ht="22.5" x14ac:dyDescent="0.15">
      <c r="A1" s="44" t="s">
        <v>106</v>
      </c>
      <c r="B1" s="44"/>
      <c r="C1" s="44"/>
      <c r="D1" s="44"/>
      <c r="E1" s="44"/>
      <c r="F1" s="44"/>
      <c r="G1" s="44"/>
    </row>
    <row r="3" spans="1:7" x14ac:dyDescent="0.15">
      <c r="A3" s="27" t="s">
        <v>107</v>
      </c>
      <c r="B3" s="27" t="s">
        <v>108</v>
      </c>
      <c r="C3" s="2" t="s">
        <v>11</v>
      </c>
      <c r="D3" s="28" t="s">
        <v>109</v>
      </c>
      <c r="E3" s="28" t="s">
        <v>110</v>
      </c>
      <c r="F3" s="2" t="s">
        <v>12</v>
      </c>
      <c r="G3" s="2" t="s">
        <v>13</v>
      </c>
    </row>
    <row r="4" spans="1:7" x14ac:dyDescent="0.15">
      <c r="A4" s="27" t="s">
        <v>111</v>
      </c>
      <c r="B4" s="27" t="s">
        <v>112</v>
      </c>
      <c r="C4" s="2" t="s">
        <v>113</v>
      </c>
      <c r="D4" s="29">
        <v>1000</v>
      </c>
      <c r="E4" s="29">
        <v>800</v>
      </c>
      <c r="F4" s="30">
        <v>40702</v>
      </c>
      <c r="G4" s="30">
        <v>40709</v>
      </c>
    </row>
    <row r="5" spans="1:7" x14ac:dyDescent="0.15">
      <c r="A5" s="27" t="s">
        <v>114</v>
      </c>
      <c r="B5" s="27" t="s">
        <v>115</v>
      </c>
      <c r="C5" s="2" t="s">
        <v>116</v>
      </c>
      <c r="D5" s="29">
        <v>1500</v>
      </c>
      <c r="E5" s="29">
        <v>0</v>
      </c>
      <c r="F5" s="30">
        <v>40701</v>
      </c>
      <c r="G5" s="30">
        <v>40703</v>
      </c>
    </row>
    <row r="6" spans="1:7" x14ac:dyDescent="0.15">
      <c r="A6" s="27" t="s">
        <v>117</v>
      </c>
      <c r="B6" s="27" t="s">
        <v>118</v>
      </c>
      <c r="C6" s="2" t="s">
        <v>119</v>
      </c>
      <c r="D6" s="29">
        <v>1500</v>
      </c>
      <c r="E6" s="29">
        <v>0</v>
      </c>
      <c r="F6" s="30">
        <v>40709</v>
      </c>
      <c r="G6" s="30">
        <v>40712</v>
      </c>
    </row>
    <row r="7" spans="1:7" x14ac:dyDescent="0.15">
      <c r="A7" s="27" t="s">
        <v>120</v>
      </c>
      <c r="B7" s="27" t="s">
        <v>115</v>
      </c>
      <c r="C7" s="2" t="s">
        <v>121</v>
      </c>
      <c r="D7" s="29">
        <v>1000</v>
      </c>
      <c r="E7" s="29">
        <v>800</v>
      </c>
      <c r="F7" s="30">
        <v>40712</v>
      </c>
      <c r="G7" s="30">
        <v>40719</v>
      </c>
    </row>
    <row r="8" spans="1:7" x14ac:dyDescent="0.15">
      <c r="A8" s="27" t="s">
        <v>122</v>
      </c>
      <c r="B8" s="27" t="s">
        <v>123</v>
      </c>
      <c r="C8" s="2" t="s">
        <v>124</v>
      </c>
      <c r="D8" s="29">
        <v>1500</v>
      </c>
      <c r="E8" s="29">
        <v>600</v>
      </c>
      <c r="F8" s="30">
        <v>40742</v>
      </c>
      <c r="G8" s="30">
        <v>40748</v>
      </c>
    </row>
    <row r="9" spans="1:7" x14ac:dyDescent="0.15">
      <c r="A9" s="27" t="s">
        <v>125</v>
      </c>
      <c r="B9" s="27" t="s">
        <v>112</v>
      </c>
      <c r="C9" s="2" t="s">
        <v>126</v>
      </c>
      <c r="D9" s="29">
        <v>2000</v>
      </c>
      <c r="E9" s="29">
        <v>800</v>
      </c>
      <c r="F9" s="30">
        <v>40727</v>
      </c>
      <c r="G9" s="30">
        <v>40734</v>
      </c>
    </row>
    <row r="10" spans="1:7" x14ac:dyDescent="0.15">
      <c r="A10" s="27" t="s">
        <v>127</v>
      </c>
      <c r="B10" s="27" t="s">
        <v>123</v>
      </c>
      <c r="C10" s="2" t="s">
        <v>128</v>
      </c>
      <c r="D10" s="29">
        <v>2500</v>
      </c>
      <c r="E10" s="29">
        <v>400</v>
      </c>
      <c r="F10" s="30">
        <v>40770</v>
      </c>
      <c r="G10" s="30">
        <v>40775</v>
      </c>
    </row>
    <row r="11" spans="1:7" x14ac:dyDescent="0.15">
      <c r="A11" s="27" t="s">
        <v>129</v>
      </c>
      <c r="B11" s="27" t="s">
        <v>118</v>
      </c>
      <c r="C11" s="2" t="s">
        <v>130</v>
      </c>
      <c r="D11" s="29">
        <v>2500</v>
      </c>
      <c r="E11" s="29">
        <v>0</v>
      </c>
      <c r="F11" s="30">
        <v>40757</v>
      </c>
      <c r="G11" s="30">
        <v>40759</v>
      </c>
    </row>
    <row r="12" spans="1:7" x14ac:dyDescent="0.15">
      <c r="A12" s="27" t="s">
        <v>131</v>
      </c>
      <c r="B12" s="27" t="s">
        <v>115</v>
      </c>
      <c r="C12" s="2" t="s">
        <v>132</v>
      </c>
      <c r="D12" s="29">
        <v>1500</v>
      </c>
      <c r="E12" s="29">
        <v>0</v>
      </c>
      <c r="F12" s="30">
        <v>40730</v>
      </c>
      <c r="G12" s="30">
        <v>40733</v>
      </c>
    </row>
    <row r="13" spans="1:7" x14ac:dyDescent="0.15">
      <c r="A13" s="27" t="s">
        <v>133</v>
      </c>
      <c r="B13" s="27" t="s">
        <v>123</v>
      </c>
      <c r="C13" s="2" t="s">
        <v>134</v>
      </c>
      <c r="D13" s="29">
        <v>1000</v>
      </c>
      <c r="E13" s="29">
        <v>0</v>
      </c>
      <c r="F13" s="30">
        <v>40701</v>
      </c>
      <c r="G13" s="30">
        <v>40704</v>
      </c>
    </row>
    <row r="14" spans="1:7" x14ac:dyDescent="0.15">
      <c r="A14" s="27" t="s">
        <v>135</v>
      </c>
      <c r="B14" s="27" t="s">
        <v>123</v>
      </c>
      <c r="C14" s="2" t="s">
        <v>136</v>
      </c>
      <c r="D14" s="29">
        <v>1000</v>
      </c>
      <c r="E14" s="29">
        <v>0</v>
      </c>
      <c r="F14" s="30">
        <v>40719</v>
      </c>
      <c r="G14" s="30">
        <v>40722</v>
      </c>
    </row>
    <row r="15" spans="1:7" x14ac:dyDescent="0.15">
      <c r="A15" s="27" t="s">
        <v>137</v>
      </c>
      <c r="B15" s="27" t="s">
        <v>118</v>
      </c>
      <c r="C15" s="2" t="s">
        <v>138</v>
      </c>
      <c r="D15" s="29">
        <v>1500</v>
      </c>
      <c r="E15" s="29">
        <v>400</v>
      </c>
      <c r="F15" s="30">
        <v>40749</v>
      </c>
      <c r="G15" s="30">
        <v>40754</v>
      </c>
    </row>
    <row r="16" spans="1:7" x14ac:dyDescent="0.15">
      <c r="A16" s="27" t="s">
        <v>139</v>
      </c>
      <c r="B16" s="27" t="s">
        <v>112</v>
      </c>
      <c r="C16" s="2" t="s">
        <v>140</v>
      </c>
      <c r="D16" s="29">
        <v>2000</v>
      </c>
      <c r="E16" s="29">
        <v>400</v>
      </c>
      <c r="F16" s="30">
        <v>40772</v>
      </c>
      <c r="G16" s="30">
        <v>40777</v>
      </c>
    </row>
    <row r="17" spans="1:7" x14ac:dyDescent="0.15">
      <c r="A17" s="27" t="s">
        <v>141</v>
      </c>
      <c r="B17" s="27" t="s">
        <v>112</v>
      </c>
      <c r="C17" s="2" t="s">
        <v>142</v>
      </c>
      <c r="D17" s="29">
        <v>1500</v>
      </c>
      <c r="E17" s="29">
        <v>600</v>
      </c>
      <c r="F17" s="30">
        <v>40775</v>
      </c>
      <c r="G17" s="30">
        <v>40781</v>
      </c>
    </row>
    <row r="18" spans="1:7" x14ac:dyDescent="0.15">
      <c r="A18" s="27" t="s">
        <v>143</v>
      </c>
      <c r="B18" s="27" t="s">
        <v>118</v>
      </c>
      <c r="C18" s="2" t="s">
        <v>144</v>
      </c>
      <c r="D18" s="29">
        <v>2000</v>
      </c>
      <c r="E18" s="29">
        <v>600</v>
      </c>
      <c r="F18" s="30">
        <v>40753</v>
      </c>
      <c r="G18" s="30">
        <v>40759</v>
      </c>
    </row>
  </sheetData>
  <mergeCells count="1">
    <mergeCell ref="A1:G1"/>
  </mergeCells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"/>
  <sheetViews>
    <sheetView workbookViewId="0">
      <selection sqref="A1:F1"/>
    </sheetView>
  </sheetViews>
  <sheetFormatPr defaultRowHeight="13.5" x14ac:dyDescent="0.15"/>
  <cols>
    <col min="1" max="1" width="7.21875" style="19" bestFit="1" customWidth="1"/>
    <col min="2" max="2" width="13.77734375" style="19" bestFit="1" customWidth="1"/>
    <col min="3" max="4" width="11.5546875" style="19" bestFit="1" customWidth="1"/>
    <col min="5" max="5" width="12.6640625" style="19" bestFit="1" customWidth="1"/>
    <col min="6" max="6" width="15.109375" style="19" bestFit="1" customWidth="1"/>
    <col min="7" max="7" width="2.77734375" style="19" customWidth="1"/>
    <col min="8" max="8" width="11.5546875" style="19" customWidth="1"/>
    <col min="9" max="16384" width="8.88671875" style="19"/>
  </cols>
  <sheetData>
    <row r="1" spans="1:9" ht="20.25" x14ac:dyDescent="0.15">
      <c r="A1" s="45" t="s">
        <v>147</v>
      </c>
      <c r="B1" s="45"/>
      <c r="C1" s="45"/>
      <c r="D1" s="45"/>
      <c r="E1" s="45"/>
      <c r="F1" s="45"/>
    </row>
    <row r="2" spans="1:9" x14ac:dyDescent="0.15">
      <c r="C2" s="1"/>
      <c r="D2" s="1"/>
      <c r="E2" s="1"/>
      <c r="F2" s="6">
        <v>40715</v>
      </c>
    </row>
    <row r="3" spans="1:9" x14ac:dyDescent="0.15">
      <c r="A3" s="2" t="s">
        <v>148</v>
      </c>
      <c r="B3" s="2" t="s">
        <v>149</v>
      </c>
      <c r="C3" s="2" t="s">
        <v>150</v>
      </c>
      <c r="D3" s="2" t="s">
        <v>151</v>
      </c>
      <c r="E3" s="2" t="s">
        <v>152</v>
      </c>
      <c r="F3" s="2" t="s">
        <v>153</v>
      </c>
      <c r="H3" s="21" t="s">
        <v>145</v>
      </c>
      <c r="I3" s="5">
        <v>0.18</v>
      </c>
    </row>
    <row r="4" spans="1:9" x14ac:dyDescent="0.15">
      <c r="A4" s="2" t="s">
        <v>154</v>
      </c>
      <c r="B4" s="3">
        <v>221062500</v>
      </c>
      <c r="C4" s="4">
        <v>1000000</v>
      </c>
      <c r="D4" s="3">
        <v>2500000</v>
      </c>
      <c r="E4" s="4">
        <f>B4*25%</f>
        <v>55265625</v>
      </c>
      <c r="F4" s="4">
        <f>B4-C4-D4-E4</f>
        <v>162296875</v>
      </c>
      <c r="H4" s="40" t="s">
        <v>146</v>
      </c>
      <c r="I4" s="31">
        <v>0.13</v>
      </c>
    </row>
    <row r="5" spans="1:9" x14ac:dyDescent="0.15">
      <c r="A5" s="2" t="s">
        <v>155</v>
      </c>
      <c r="B5" s="3">
        <f>B4*(1+$I$4)</f>
        <v>249800624.99999997</v>
      </c>
      <c r="C5" s="4">
        <v>1000000</v>
      </c>
      <c r="D5" s="3">
        <v>3000000</v>
      </c>
      <c r="E5" s="4">
        <f>B5*25%</f>
        <v>62450156.249999993</v>
      </c>
      <c r="F5" s="4">
        <f>B5-C5-D5-E5</f>
        <v>183350468.74999997</v>
      </c>
    </row>
    <row r="6" spans="1:9" x14ac:dyDescent="0.15">
      <c r="A6" s="2" t="s">
        <v>156</v>
      </c>
      <c r="B6" s="3">
        <f>B5*(1+$I$4)</f>
        <v>282274706.24999994</v>
      </c>
      <c r="C6" s="4">
        <v>1500000</v>
      </c>
      <c r="D6" s="3">
        <v>3000000</v>
      </c>
      <c r="E6" s="4">
        <f>B6*25%</f>
        <v>70568676.562499985</v>
      </c>
      <c r="F6" s="4">
        <f>B6-C6-D6-E6</f>
        <v>207206029.68749994</v>
      </c>
    </row>
    <row r="7" spans="1:9" x14ac:dyDescent="0.15">
      <c r="A7" s="2" t="s">
        <v>157</v>
      </c>
      <c r="B7" s="3">
        <f>B6*(1+$I$4)</f>
        <v>318970418.06249988</v>
      </c>
      <c r="C7" s="4">
        <v>2000000</v>
      </c>
      <c r="D7" s="3">
        <v>4000000</v>
      </c>
      <c r="E7" s="4">
        <f>B7*25%</f>
        <v>79742604.51562497</v>
      </c>
      <c r="F7" s="4">
        <f>B7-C7-D7-E7</f>
        <v>233227813.54687491</v>
      </c>
    </row>
    <row r="8" spans="1:9" x14ac:dyDescent="0.15">
      <c r="A8" s="2" t="s">
        <v>158</v>
      </c>
      <c r="B8" s="3">
        <f>B7*(1+$I$4)</f>
        <v>360436572.4106248</v>
      </c>
      <c r="C8" s="4">
        <v>2500000</v>
      </c>
      <c r="D8" s="3">
        <v>5000000</v>
      </c>
      <c r="E8" s="4">
        <f>B8*25%</f>
        <v>90109143.102656201</v>
      </c>
      <c r="F8" s="4">
        <f>B8-C8-D8-E8</f>
        <v>262827429.30796862</v>
      </c>
    </row>
    <row r="9" spans="1:9" x14ac:dyDescent="0.15">
      <c r="A9" s="2" t="s">
        <v>26</v>
      </c>
      <c r="B9" s="3">
        <f>AVERAGE(B4:B8)</f>
        <v>286508964.34462494</v>
      </c>
      <c r="C9" s="3">
        <f>AVERAGE(C4:C8)</f>
        <v>1600000</v>
      </c>
      <c r="D9" s="3">
        <f>AVERAGE(D4:D8)</f>
        <v>3500000</v>
      </c>
      <c r="E9" s="3">
        <f>AVERAGE(E4:E8)</f>
        <v>71627241.086156234</v>
      </c>
      <c r="F9" s="3">
        <f>AVERAGE(F4:F8)</f>
        <v>209781723.25846869</v>
      </c>
    </row>
    <row r="10" spans="1:9" x14ac:dyDescent="0.15">
      <c r="C10" s="1"/>
      <c r="D10" s="1"/>
      <c r="E10" s="1"/>
      <c r="F10" s="1"/>
    </row>
  </sheetData>
  <mergeCells count="1">
    <mergeCell ref="A1:F1"/>
  </mergeCells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"/>
  <sheetViews>
    <sheetView workbookViewId="0"/>
  </sheetViews>
  <sheetFormatPr defaultRowHeight="13.5" x14ac:dyDescent="0.15"/>
  <cols>
    <col min="1" max="1" width="8.88671875" style="19"/>
    <col min="2" max="2" width="11.5546875" style="19" bestFit="1" customWidth="1"/>
    <col min="3" max="3" width="9.88671875" style="19" customWidth="1"/>
    <col min="4" max="4" width="10" style="19" bestFit="1" customWidth="1"/>
    <col min="5" max="5" width="9.88671875" style="19" bestFit="1" customWidth="1"/>
    <col min="6" max="6" width="11.5546875" style="19" bestFit="1" customWidth="1"/>
    <col min="7" max="16384" width="8.88671875" style="19"/>
  </cols>
  <sheetData>
    <row r="1" spans="1:6" x14ac:dyDescent="0.15">
      <c r="A1" s="32" t="s">
        <v>159</v>
      </c>
      <c r="B1" s="32"/>
      <c r="C1" s="32"/>
      <c r="D1" s="32"/>
      <c r="E1" s="32"/>
    </row>
    <row r="2" spans="1:6" x14ac:dyDescent="0.15">
      <c r="A2" s="24" t="s">
        <v>160</v>
      </c>
      <c r="B2" s="24" t="s">
        <v>169</v>
      </c>
      <c r="C2" s="24" t="s">
        <v>173</v>
      </c>
      <c r="D2" s="24" t="s">
        <v>171</v>
      </c>
      <c r="E2" s="24" t="s">
        <v>172</v>
      </c>
      <c r="F2" s="24" t="s">
        <v>170</v>
      </c>
    </row>
    <row r="3" spans="1:6" x14ac:dyDescent="0.15">
      <c r="A3" s="24" t="s">
        <v>161</v>
      </c>
      <c r="B3" s="35">
        <v>3600000</v>
      </c>
      <c r="C3" s="35">
        <v>500000</v>
      </c>
      <c r="D3" s="35">
        <v>600000</v>
      </c>
      <c r="E3" s="35">
        <v>540000</v>
      </c>
      <c r="F3" s="33"/>
    </row>
    <row r="4" spans="1:6" x14ac:dyDescent="0.15">
      <c r="A4" s="24" t="s">
        <v>162</v>
      </c>
      <c r="B4" s="35">
        <v>3000000</v>
      </c>
      <c r="C4" s="35">
        <v>500000</v>
      </c>
      <c r="D4" s="35">
        <v>500000</v>
      </c>
      <c r="E4" s="35">
        <v>450000</v>
      </c>
      <c r="F4" s="33"/>
    </row>
    <row r="5" spans="1:6" x14ac:dyDescent="0.15">
      <c r="A5" s="24" t="s">
        <v>163</v>
      </c>
      <c r="B5" s="35">
        <v>3200000</v>
      </c>
      <c r="C5" s="35">
        <v>500000</v>
      </c>
      <c r="D5" s="35">
        <v>500000</v>
      </c>
      <c r="E5" s="35">
        <v>480000</v>
      </c>
      <c r="F5" s="33"/>
    </row>
    <row r="6" spans="1:6" x14ac:dyDescent="0.15">
      <c r="A6" s="24" t="s">
        <v>164</v>
      </c>
      <c r="B6" s="35">
        <v>2600000</v>
      </c>
      <c r="C6" s="35">
        <v>500000</v>
      </c>
      <c r="D6" s="35">
        <v>300000</v>
      </c>
      <c r="E6" s="35">
        <v>390000</v>
      </c>
      <c r="F6" s="33"/>
    </row>
    <row r="7" spans="1:6" x14ac:dyDescent="0.15">
      <c r="A7" s="24" t="s">
        <v>165</v>
      </c>
      <c r="B7" s="35">
        <v>2500000</v>
      </c>
      <c r="C7" s="35">
        <v>500000</v>
      </c>
      <c r="D7" s="35">
        <v>300000</v>
      </c>
      <c r="E7" s="35">
        <v>375000</v>
      </c>
      <c r="F7" s="33"/>
    </row>
    <row r="8" spans="1:6" x14ac:dyDescent="0.15">
      <c r="A8" s="24" t="s">
        <v>166</v>
      </c>
      <c r="B8" s="35">
        <v>2700000</v>
      </c>
      <c r="C8" s="35">
        <v>500000</v>
      </c>
      <c r="D8" s="35">
        <v>300000</v>
      </c>
      <c r="E8" s="35">
        <v>405000</v>
      </c>
      <c r="F8" s="33"/>
    </row>
    <row r="9" spans="1:6" x14ac:dyDescent="0.15">
      <c r="A9" s="21" t="s">
        <v>167</v>
      </c>
      <c r="B9" s="35">
        <v>2000000</v>
      </c>
      <c r="C9" s="35">
        <v>500000</v>
      </c>
      <c r="D9" s="36">
        <v>200000</v>
      </c>
      <c r="E9" s="35">
        <v>300000</v>
      </c>
      <c r="F9" s="33"/>
    </row>
    <row r="10" spans="1:6" x14ac:dyDescent="0.15">
      <c r="A10" s="21" t="s">
        <v>168</v>
      </c>
      <c r="B10" s="35">
        <v>2100000</v>
      </c>
      <c r="C10" s="35">
        <v>500000</v>
      </c>
      <c r="D10" s="36">
        <v>200000</v>
      </c>
      <c r="E10" s="35">
        <v>315000</v>
      </c>
      <c r="F10" s="33"/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"/>
  <sheetViews>
    <sheetView workbookViewId="0">
      <selection sqref="A1:F1"/>
    </sheetView>
  </sheetViews>
  <sheetFormatPr defaultRowHeight="13.5" x14ac:dyDescent="0.15"/>
  <cols>
    <col min="1" max="1" width="8.88671875" style="19"/>
    <col min="2" max="2" width="9.88671875" style="19" bestFit="1" customWidth="1"/>
    <col min="3" max="3" width="9" style="19" bestFit="1" customWidth="1"/>
    <col min="4" max="6" width="9.88671875" style="19" bestFit="1" customWidth="1"/>
    <col min="7" max="16384" width="8.88671875" style="19"/>
  </cols>
  <sheetData>
    <row r="1" spans="1:6" ht="18.75" x14ac:dyDescent="0.15">
      <c r="A1" s="46" t="s">
        <v>181</v>
      </c>
      <c r="B1" s="46"/>
      <c r="C1" s="46"/>
      <c r="D1" s="46"/>
      <c r="E1" s="46"/>
      <c r="F1" s="46"/>
    </row>
    <row r="2" spans="1:6" x14ac:dyDescent="0.15">
      <c r="F2" s="19" t="s">
        <v>180</v>
      </c>
    </row>
    <row r="3" spans="1:6" x14ac:dyDescent="0.15">
      <c r="A3" s="21" t="s">
        <v>174</v>
      </c>
      <c r="B3" s="21" t="s">
        <v>175</v>
      </c>
      <c r="C3" s="21" t="s">
        <v>176</v>
      </c>
      <c r="D3" s="21" t="s">
        <v>177</v>
      </c>
      <c r="E3" s="21" t="s">
        <v>178</v>
      </c>
      <c r="F3" s="21" t="s">
        <v>179</v>
      </c>
    </row>
    <row r="4" spans="1:6" x14ac:dyDescent="0.15">
      <c r="A4" s="21" t="s">
        <v>182</v>
      </c>
      <c r="B4" s="36">
        <v>211662</v>
      </c>
      <c r="C4" s="36">
        <v>6166</v>
      </c>
      <c r="D4" s="36">
        <v>335962</v>
      </c>
      <c r="E4" s="36">
        <v>127643</v>
      </c>
      <c r="F4" s="36">
        <v>200861</v>
      </c>
    </row>
    <row r="5" spans="1:6" x14ac:dyDescent="0.15">
      <c r="A5" s="21" t="s">
        <v>183</v>
      </c>
      <c r="B5" s="36">
        <v>215822</v>
      </c>
      <c r="C5" s="36">
        <v>5870</v>
      </c>
      <c r="D5" s="36">
        <v>338962</v>
      </c>
      <c r="E5" s="36">
        <v>124182</v>
      </c>
      <c r="F5" s="36">
        <v>205222</v>
      </c>
    </row>
    <row r="6" spans="1:6" x14ac:dyDescent="0.15">
      <c r="A6" s="21" t="s">
        <v>184</v>
      </c>
      <c r="B6" s="36">
        <v>231990</v>
      </c>
      <c r="C6" s="36">
        <v>5838</v>
      </c>
      <c r="D6" s="36">
        <v>361875</v>
      </c>
      <c r="E6" s="36">
        <v>126378</v>
      </c>
      <c r="F6" s="36">
        <v>223992</v>
      </c>
    </row>
    <row r="7" spans="1:6" x14ac:dyDescent="0.15">
      <c r="A7" s="21" t="s">
        <v>185</v>
      </c>
      <c r="B7" s="36">
        <v>226878</v>
      </c>
      <c r="C7" s="36">
        <v>5505</v>
      </c>
      <c r="D7" s="36">
        <v>352458</v>
      </c>
      <c r="E7" s="36">
        <v>116902</v>
      </c>
      <c r="F7" s="36">
        <v>223665</v>
      </c>
    </row>
  </sheetData>
  <mergeCells count="1">
    <mergeCell ref="A1:F1"/>
  </mergeCells>
  <phoneticPr fontId="4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'기본작업-3'!MS_Access_Database_Query</vt:lpstr>
      <vt:lpstr>상품명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김선애</dc:creator>
  <cp:lastModifiedBy>ck</cp:lastModifiedBy>
  <dcterms:created xsi:type="dcterms:W3CDTF">2004-05-11T08:10:39Z</dcterms:created>
  <dcterms:modified xsi:type="dcterms:W3CDTF">2013-12-28T05:16:59Z</dcterms:modified>
</cp:coreProperties>
</file>