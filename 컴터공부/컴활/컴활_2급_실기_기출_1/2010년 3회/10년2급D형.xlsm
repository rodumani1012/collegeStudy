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B7FE6334-C1A2-E50D-BD3D-5F4D41BBC2E3}"/>
  <workbookPr codeName="ThisWorkbook"/>
  <bookViews>
    <workbookView xWindow="-15" yWindow="-15" windowWidth="9000" windowHeight="5880" tabRatio="923"/>
  </bookViews>
  <sheets>
    <sheet name="기본작업-1" sheetId="45" r:id="rId1"/>
    <sheet name="기본작업-2" sheetId="59" r:id="rId2"/>
    <sheet name="기본작업-3" sheetId="46" r:id="rId3"/>
    <sheet name="계산작업" sheetId="49" r:id="rId4"/>
    <sheet name="분석작업-1" sheetId="55" r:id="rId5"/>
    <sheet name="분석작업-2" sheetId="51" r:id="rId6"/>
    <sheet name="매크로작업" sheetId="56" r:id="rId7"/>
    <sheet name="차트작업" sheetId="60" r:id="rId8"/>
  </sheets>
  <definedNames>
    <definedName name="_xlnm._FilterDatabase" localSheetId="1" hidden="1">'기본작업-2'!$A$3:$G$13</definedName>
    <definedName name="HTML_CodePage" hidden="1">949</definedName>
    <definedName name="HTML_Control" localSheetId="1" hidden="1">{"'팬시점 판매현황(답)'!$B$11:$I$19"}</definedName>
    <definedName name="HTML_Control" localSheetId="6" hidden="1">{"'팬시점 판매현황(답)'!$B$11:$I$19"}</definedName>
    <definedName name="HTML_Control" localSheetId="4" hidden="1">{"'팬시점 판매현황(답)'!$B$11:$I$19"}</definedName>
    <definedName name="HTML_Control" localSheetId="5" hidden="1">{"'팬시점 판매현황(답)'!$B$11:$I$19"}</definedName>
    <definedName name="HTML_Control" localSheetId="7" hidden="1">{"'팬시점 판매현황(답)'!$B$11:$I$19"}</definedName>
    <definedName name="HTML_Control" hidden="1">{"'팬시점 판매현황(답)'!$B$11:$I$19"}</definedName>
    <definedName name="HTML_Description" hidden="1">""</definedName>
    <definedName name="HTML_Email" hidden="1">""</definedName>
    <definedName name="HTML_Header" hidden="1">""</definedName>
    <definedName name="HTML_LastUpdate" hidden="1">"01-03-11"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"C:\WINDOWS\바탕 화면\작업문서\합격다지기5회\합격다지기\1회\MyHTML.htm"</definedName>
    <definedName name="HTML_Title" hidden="1">""</definedName>
    <definedName name="기본상여율" localSheetId="3">#REF!</definedName>
    <definedName name="수당합계" localSheetId="3">#REF!</definedName>
    <definedName name="응시횟수" localSheetId="3">#REF!</definedName>
    <definedName name="응시횟수" localSheetId="1">'기본작업-2'!#REF!</definedName>
    <definedName name="특별상여율" localSheetId="3">#REF!</definedName>
  </definedNames>
  <calcPr calcId="145621"/>
</workbook>
</file>

<file path=xl/calcChain.xml><?xml version="1.0" encoding="utf-8"?>
<calcChain xmlns="http://schemas.openxmlformats.org/spreadsheetml/2006/main">
  <c r="G5" i="55" l="1"/>
  <c r="G6" i="55"/>
  <c r="G7" i="55"/>
  <c r="G8" i="55"/>
  <c r="G9" i="55"/>
  <c r="G10" i="55"/>
  <c r="G11" i="55"/>
  <c r="G12" i="55"/>
  <c r="G4" i="55"/>
  <c r="G13" i="55" s="1"/>
  <c r="D4" i="60"/>
  <c r="E4" i="60"/>
  <c r="D5" i="60"/>
  <c r="E5" i="60"/>
  <c r="D6" i="60"/>
  <c r="E6" i="60"/>
  <c r="D7" i="60"/>
  <c r="E7" i="60"/>
  <c r="D8" i="60"/>
  <c r="E8" i="60"/>
  <c r="D9" i="60"/>
  <c r="E9" i="60"/>
  <c r="D13" i="55"/>
  <c r="E13" i="55"/>
  <c r="F13" i="55"/>
  <c r="C13" i="55"/>
  <c r="D3" i="49"/>
  <c r="D6" i="49"/>
  <c r="D8" i="49"/>
  <c r="D11" i="49"/>
  <c r="D4" i="49"/>
  <c r="D5" i="49"/>
  <c r="D7" i="49"/>
  <c r="D9" i="49"/>
  <c r="D10" i="49"/>
  <c r="F5" i="46"/>
  <c r="G5" i="46" s="1"/>
  <c r="F6" i="46"/>
  <c r="G6" i="46" s="1"/>
  <c r="F7" i="46"/>
  <c r="G7" i="46" s="1"/>
  <c r="F8" i="46"/>
  <c r="G8" i="46" s="1"/>
  <c r="F9" i="46"/>
  <c r="G9" i="46" s="1"/>
  <c r="F10" i="46"/>
  <c r="G10" i="46" s="1"/>
  <c r="F11" i="46"/>
  <c r="G11" i="46" s="1"/>
  <c r="F12" i="46"/>
  <c r="G12" i="46" s="1"/>
  <c r="F13" i="46"/>
  <c r="G13" i="46" s="1"/>
  <c r="F4" i="46"/>
  <c r="G4" i="46" s="1"/>
  <c r="I14" i="59"/>
  <c r="I13" i="59"/>
  <c r="I12" i="59"/>
  <c r="I11" i="59"/>
  <c r="I10" i="59"/>
  <c r="I9" i="59"/>
  <c r="I8" i="59"/>
  <c r="I7" i="59"/>
  <c r="I6" i="59"/>
  <c r="I5" i="59"/>
  <c r="I12" i="51"/>
  <c r="I17" i="51"/>
  <c r="I16" i="51"/>
  <c r="I15" i="51"/>
  <c r="I14" i="51"/>
  <c r="I13" i="51"/>
  <c r="I11" i="51"/>
  <c r="I10" i="51"/>
  <c r="I9" i="51"/>
  <c r="I8" i="51"/>
  <c r="I7" i="51"/>
  <c r="I6" i="51"/>
  <c r="I5" i="51"/>
</calcChain>
</file>

<file path=xl/sharedStrings.xml><?xml version="1.0" encoding="utf-8"?>
<sst xmlns="http://schemas.openxmlformats.org/spreadsheetml/2006/main" count="281" uniqueCount="216">
  <si>
    <t>성명</t>
    <phoneticPr fontId="2" type="noConversion"/>
  </si>
  <si>
    <t>CSC-203</t>
  </si>
  <si>
    <t>서울</t>
    <phoneticPr fontId="2" type="noConversion"/>
  </si>
  <si>
    <t>휴대폰 제조업체 매출현황</t>
    <phoneticPr fontId="2" type="noConversion"/>
  </si>
  <si>
    <t>단위:백만원</t>
    <phoneticPr fontId="2" type="noConversion"/>
  </si>
  <si>
    <t>브랜드명</t>
    <phoneticPr fontId="2" type="noConversion"/>
  </si>
  <si>
    <t>제조업체</t>
    <phoneticPr fontId="2" type="noConversion"/>
  </si>
  <si>
    <t>생산지</t>
    <phoneticPr fontId="2" type="noConversion"/>
  </si>
  <si>
    <t>최신모델</t>
    <phoneticPr fontId="2" type="noConversion"/>
  </si>
  <si>
    <t>평균매출액</t>
    <phoneticPr fontId="2" type="noConversion"/>
  </si>
  <si>
    <t>스카이</t>
    <phoneticPr fontId="2" type="noConversion"/>
  </si>
  <si>
    <t>한국</t>
    <phoneticPr fontId="2" type="noConversion"/>
  </si>
  <si>
    <t>IM-7100</t>
    <phoneticPr fontId="2" type="noConversion"/>
  </si>
  <si>
    <t>미국</t>
    <phoneticPr fontId="2" type="noConversion"/>
  </si>
  <si>
    <t>MS-150</t>
    <phoneticPr fontId="2" type="noConversion"/>
  </si>
  <si>
    <t>일본</t>
    <phoneticPr fontId="2" type="noConversion"/>
  </si>
  <si>
    <t xml:space="preserve">SCP-A011 </t>
    <phoneticPr fontId="2" type="noConversion"/>
  </si>
  <si>
    <t>S2</t>
    <phoneticPr fontId="2" type="noConversion"/>
  </si>
  <si>
    <t>SD2100</t>
  </si>
  <si>
    <t>E-170</t>
  </si>
  <si>
    <t>E-2500</t>
    <phoneticPr fontId="2" type="noConversion"/>
  </si>
  <si>
    <t>KS</t>
    <phoneticPr fontId="2" type="noConversion"/>
  </si>
  <si>
    <t>레디안</t>
    <phoneticPr fontId="2" type="noConversion"/>
  </si>
  <si>
    <t xml:space="preserve">SCP-A012 </t>
    <phoneticPr fontId="2" type="noConversion"/>
  </si>
  <si>
    <t>S3</t>
    <phoneticPr fontId="2" type="noConversion"/>
  </si>
  <si>
    <t>흐르미</t>
    <phoneticPr fontId="2" type="noConversion"/>
  </si>
  <si>
    <t>NIC</t>
    <phoneticPr fontId="2" type="noConversion"/>
  </si>
  <si>
    <t>멀티규</t>
    <phoneticPr fontId="2" type="noConversion"/>
  </si>
  <si>
    <t>큐텔</t>
    <phoneticPr fontId="2" type="noConversion"/>
  </si>
  <si>
    <t>GLS</t>
    <phoneticPr fontId="2" type="noConversion"/>
  </si>
  <si>
    <t>애드콜</t>
    <phoneticPr fontId="2" type="noConversion"/>
  </si>
  <si>
    <t>SAMS</t>
    <phoneticPr fontId="2" type="noConversion"/>
  </si>
  <si>
    <t>콜맨</t>
    <phoneticPr fontId="2" type="noConversion"/>
  </si>
  <si>
    <t>IM-8100</t>
    <phoneticPr fontId="2" type="noConversion"/>
  </si>
  <si>
    <t>SD2101</t>
    <phoneticPr fontId="2" type="noConversion"/>
  </si>
  <si>
    <t>E-171</t>
    <phoneticPr fontId="2" type="noConversion"/>
  </si>
  <si>
    <t>E-2600</t>
    <phoneticPr fontId="2" type="noConversion"/>
  </si>
  <si>
    <t>동계스키캠프 참가명단</t>
    <phoneticPr fontId="2" type="noConversion"/>
  </si>
  <si>
    <t>성명</t>
    <phoneticPr fontId="2" type="noConversion"/>
  </si>
  <si>
    <t>강습기간</t>
    <phoneticPr fontId="2" type="noConversion"/>
  </si>
  <si>
    <t>장비대여료</t>
    <phoneticPr fontId="2" type="noConversion"/>
  </si>
  <si>
    <t>숙박비</t>
    <phoneticPr fontId="2" type="noConversion"/>
  </si>
  <si>
    <t>강습료</t>
    <phoneticPr fontId="2" type="noConversion"/>
  </si>
  <si>
    <t>교통비</t>
    <phoneticPr fontId="2" type="noConversion"/>
  </si>
  <si>
    <t>3박4일</t>
    <phoneticPr fontId="2" type="noConversion"/>
  </si>
  <si>
    <t>2박3일</t>
    <phoneticPr fontId="2" type="noConversion"/>
  </si>
  <si>
    <t>3박4일</t>
    <phoneticPr fontId="2" type="noConversion"/>
  </si>
  <si>
    <t>4박5일</t>
    <phoneticPr fontId="2" type="noConversion"/>
  </si>
  <si>
    <t>성명</t>
    <phoneticPr fontId="2" type="noConversion"/>
  </si>
  <si>
    <t>교과</t>
    <phoneticPr fontId="2" type="noConversion"/>
  </si>
  <si>
    <t>전공</t>
    <phoneticPr fontId="2" type="noConversion"/>
  </si>
  <si>
    <t>교직</t>
    <phoneticPr fontId="2" type="noConversion"/>
  </si>
  <si>
    <t>논술</t>
    <phoneticPr fontId="2" type="noConversion"/>
  </si>
  <si>
    <t>가산점</t>
    <phoneticPr fontId="2" type="noConversion"/>
  </si>
  <si>
    <t>총점</t>
    <phoneticPr fontId="2" type="noConversion"/>
  </si>
  <si>
    <t>김소영</t>
    <phoneticPr fontId="2" type="noConversion"/>
  </si>
  <si>
    <t>국어</t>
    <phoneticPr fontId="2" type="noConversion"/>
  </si>
  <si>
    <t>정형수</t>
    <phoneticPr fontId="2" type="noConversion"/>
  </si>
  <si>
    <t>전산</t>
    <phoneticPr fontId="2" type="noConversion"/>
  </si>
  <si>
    <t>박문석</t>
    <phoneticPr fontId="2" type="noConversion"/>
  </si>
  <si>
    <t>수학</t>
    <phoneticPr fontId="2" type="noConversion"/>
  </si>
  <si>
    <t>이경은</t>
    <phoneticPr fontId="2" type="noConversion"/>
  </si>
  <si>
    <t>이현지</t>
    <phoneticPr fontId="2" type="noConversion"/>
  </si>
  <si>
    <t>정지혜</t>
    <phoneticPr fontId="2" type="noConversion"/>
  </si>
  <si>
    <t>과학</t>
    <phoneticPr fontId="2" type="noConversion"/>
  </si>
  <si>
    <t>권태수</t>
    <phoneticPr fontId="2" type="noConversion"/>
  </si>
  <si>
    <t>상업</t>
    <phoneticPr fontId="2" type="noConversion"/>
  </si>
  <si>
    <t>임성수</t>
    <phoneticPr fontId="2" type="noConversion"/>
  </si>
  <si>
    <t>브랜드</t>
    <phoneticPr fontId="2" type="noConversion"/>
  </si>
  <si>
    <t>분류코드</t>
    <phoneticPr fontId="2" type="noConversion"/>
  </si>
  <si>
    <t>주고객</t>
    <phoneticPr fontId="2" type="noConversion"/>
  </si>
  <si>
    <t>입점연도</t>
    <phoneticPr fontId="2" type="noConversion"/>
  </si>
  <si>
    <t>1사분기</t>
    <phoneticPr fontId="2" type="noConversion"/>
  </si>
  <si>
    <t>2사분기</t>
    <phoneticPr fontId="2" type="noConversion"/>
  </si>
  <si>
    <t>3사분기</t>
    <phoneticPr fontId="2" type="noConversion"/>
  </si>
  <si>
    <t>4사분기</t>
    <phoneticPr fontId="2" type="noConversion"/>
  </si>
  <si>
    <t>연매출액</t>
    <phoneticPr fontId="2" type="noConversion"/>
  </si>
  <si>
    <t>잔쟁이</t>
    <phoneticPr fontId="2" type="noConversion"/>
  </si>
  <si>
    <t>TLC-100</t>
    <phoneticPr fontId="2" type="noConversion"/>
  </si>
  <si>
    <t>30대</t>
    <phoneticPr fontId="2" type="noConversion"/>
  </si>
  <si>
    <t>색진</t>
    <phoneticPr fontId="2" type="noConversion"/>
  </si>
  <si>
    <t>CSC-200</t>
    <phoneticPr fontId="2" type="noConversion"/>
  </si>
  <si>
    <t>10대</t>
    <phoneticPr fontId="2" type="noConversion"/>
  </si>
  <si>
    <t>키젠</t>
    <phoneticPr fontId="2" type="noConversion"/>
  </si>
  <si>
    <t>MTC-300</t>
    <phoneticPr fontId="2" type="noConversion"/>
  </si>
  <si>
    <t>2000년</t>
    <phoneticPr fontId="2" type="noConversion"/>
  </si>
  <si>
    <t>럭시룩</t>
    <phoneticPr fontId="2" type="noConversion"/>
  </si>
  <si>
    <t>TLC-101</t>
    <phoneticPr fontId="2" type="noConversion"/>
  </si>
  <si>
    <t>20대</t>
    <phoneticPr fontId="2" type="noConversion"/>
  </si>
  <si>
    <t>참진</t>
    <phoneticPr fontId="2" type="noConversion"/>
  </si>
  <si>
    <t>CSC-201</t>
    <phoneticPr fontId="2" type="noConversion"/>
  </si>
  <si>
    <t>비이트</t>
    <phoneticPr fontId="2" type="noConversion"/>
  </si>
  <si>
    <t>TLC-102</t>
    <phoneticPr fontId="2" type="noConversion"/>
  </si>
  <si>
    <t>시실리</t>
    <phoneticPr fontId="2" type="noConversion"/>
  </si>
  <si>
    <t>MTC-301</t>
    <phoneticPr fontId="2" type="noConversion"/>
  </si>
  <si>
    <t>40대</t>
    <phoneticPr fontId="2" type="noConversion"/>
  </si>
  <si>
    <t>2003년</t>
    <phoneticPr fontId="2" type="noConversion"/>
  </si>
  <si>
    <t>메트로</t>
    <phoneticPr fontId="2" type="noConversion"/>
  </si>
  <si>
    <t>SSC-400</t>
    <phoneticPr fontId="2" type="noConversion"/>
  </si>
  <si>
    <t>이엔씨</t>
    <phoneticPr fontId="2" type="noConversion"/>
  </si>
  <si>
    <t>CSC-202</t>
    <phoneticPr fontId="2" type="noConversion"/>
  </si>
  <si>
    <t>스위티</t>
    <phoneticPr fontId="2" type="noConversion"/>
  </si>
  <si>
    <t>상공 백화점 여성 의류 매출 현황</t>
    <phoneticPr fontId="2" type="noConversion"/>
  </si>
  <si>
    <t>2005년</t>
    <phoneticPr fontId="2" type="noConversion"/>
  </si>
  <si>
    <t>2006년</t>
    <phoneticPr fontId="2" type="noConversion"/>
  </si>
  <si>
    <t>2004년</t>
    <phoneticPr fontId="2" type="noConversion"/>
  </si>
  <si>
    <t>2002년</t>
    <phoneticPr fontId="2" type="noConversion"/>
  </si>
  <si>
    <t>2007년</t>
    <phoneticPr fontId="2" type="noConversion"/>
  </si>
  <si>
    <t>2009년</t>
    <phoneticPr fontId="2" type="noConversion"/>
  </si>
  <si>
    <t>2008년</t>
    <phoneticPr fontId="2" type="noConversion"/>
  </si>
  <si>
    <t>상공전자 사원별 급여 현황</t>
    <phoneticPr fontId="2" type="noConversion"/>
  </si>
  <si>
    <t>김상욱</t>
    <phoneticPr fontId="2" type="noConversion"/>
  </si>
  <si>
    <t>임선호</t>
    <phoneticPr fontId="2" type="noConversion"/>
  </si>
  <si>
    <t>고회식</t>
    <phoneticPr fontId="2" type="noConversion"/>
  </si>
  <si>
    <t>김준용</t>
    <phoneticPr fontId="2" type="noConversion"/>
  </si>
  <si>
    <t>황진주</t>
    <phoneticPr fontId="2" type="noConversion"/>
  </si>
  <si>
    <t>박영선</t>
    <phoneticPr fontId="2" type="noConversion"/>
  </si>
  <si>
    <t>최성완</t>
    <phoneticPr fontId="2" type="noConversion"/>
  </si>
  <si>
    <t>김민서</t>
    <phoneticPr fontId="2" type="noConversion"/>
  </si>
  <si>
    <t>이가영</t>
    <phoneticPr fontId="2" type="noConversion"/>
  </si>
  <si>
    <t>박경선</t>
    <phoneticPr fontId="2" type="noConversion"/>
  </si>
  <si>
    <t>직급</t>
    <phoneticPr fontId="2" type="noConversion"/>
  </si>
  <si>
    <t>과장</t>
    <phoneticPr fontId="2" type="noConversion"/>
  </si>
  <si>
    <t>대리</t>
    <phoneticPr fontId="2" type="noConversion"/>
  </si>
  <si>
    <t>부장</t>
    <phoneticPr fontId="2" type="noConversion"/>
  </si>
  <si>
    <t>사원</t>
    <phoneticPr fontId="2" type="noConversion"/>
  </si>
  <si>
    <t>기본수당</t>
    <phoneticPr fontId="2" type="noConversion"/>
  </si>
  <si>
    <t>연장수당</t>
    <phoneticPr fontId="2" type="noConversion"/>
  </si>
  <si>
    <t>자격수당</t>
    <phoneticPr fontId="2" type="noConversion"/>
  </si>
  <si>
    <t>세금</t>
    <phoneticPr fontId="2" type="noConversion"/>
  </si>
  <si>
    <t>총급여</t>
    <phoneticPr fontId="2" type="noConversion"/>
  </si>
  <si>
    <t>[표1] 과일 종류</t>
    <phoneticPr fontId="2" type="noConversion"/>
  </si>
  <si>
    <t>과일명</t>
    <phoneticPr fontId="2" type="noConversion"/>
  </si>
  <si>
    <t>판매금액</t>
    <phoneticPr fontId="2" type="noConversion"/>
  </si>
  <si>
    <t>판매량</t>
    <phoneticPr fontId="2" type="noConversion"/>
  </si>
  <si>
    <t>사과류 판매금액</t>
    <phoneticPr fontId="2" type="noConversion"/>
  </si>
  <si>
    <t>충주사과</t>
    <phoneticPr fontId="2" type="noConversion"/>
  </si>
  <si>
    <t>청송사과</t>
    <phoneticPr fontId="2" type="noConversion"/>
  </si>
  <si>
    <t>예산사과</t>
    <phoneticPr fontId="2" type="noConversion"/>
  </si>
  <si>
    <t>소백산사과</t>
    <phoneticPr fontId="2" type="noConversion"/>
  </si>
  <si>
    <t>성주참외</t>
    <phoneticPr fontId="2" type="noConversion"/>
  </si>
  <si>
    <t>보은참외</t>
    <phoneticPr fontId="2" type="noConversion"/>
  </si>
  <si>
    <t>나주배</t>
    <phoneticPr fontId="2" type="noConversion"/>
  </si>
  <si>
    <t>청주배</t>
    <phoneticPr fontId="2" type="noConversion"/>
  </si>
  <si>
    <t>사천배</t>
    <phoneticPr fontId="2" type="noConversion"/>
  </si>
  <si>
    <t>단가</t>
    <phoneticPr fontId="2" type="noConversion"/>
  </si>
  <si>
    <t>수익률 순위</t>
    <phoneticPr fontId="2" type="noConversion"/>
  </si>
  <si>
    <t>펀드명</t>
    <phoneticPr fontId="2" type="noConversion"/>
  </si>
  <si>
    <t>수익률</t>
    <phoneticPr fontId="2" type="noConversion"/>
  </si>
  <si>
    <t>가입일</t>
    <phoneticPr fontId="2" type="noConversion"/>
  </si>
  <si>
    <t>굿윈펀드</t>
    <phoneticPr fontId="2" type="noConversion"/>
  </si>
  <si>
    <t>닥터펀드</t>
    <phoneticPr fontId="2" type="noConversion"/>
  </si>
  <si>
    <r>
      <t xml:space="preserve"> </t>
    </r>
    <r>
      <rPr>
        <sz val="11"/>
        <rFont val="돋움"/>
        <family val="3"/>
        <charset val="129"/>
      </rPr>
      <t>IBS펀드</t>
    </r>
    <phoneticPr fontId="2" type="noConversion"/>
  </si>
  <si>
    <r>
      <t>B</t>
    </r>
    <r>
      <rPr>
        <sz val="11"/>
        <rFont val="돋움"/>
        <family val="3"/>
        <charset val="129"/>
      </rPr>
      <t>RK펀드</t>
    </r>
    <phoneticPr fontId="2" type="noConversion"/>
  </si>
  <si>
    <t>한국펀드</t>
    <phoneticPr fontId="2" type="noConversion"/>
  </si>
  <si>
    <t>상공펀드</t>
    <phoneticPr fontId="2" type="noConversion"/>
  </si>
  <si>
    <t>코리아펀드</t>
    <phoneticPr fontId="2" type="noConversion"/>
  </si>
  <si>
    <t>재테크펀드</t>
    <phoneticPr fontId="2" type="noConversion"/>
  </si>
  <si>
    <t>굿앤굿펀드</t>
    <phoneticPr fontId="2" type="noConversion"/>
  </si>
  <si>
    <t>[표3] 재고 현황</t>
    <phoneticPr fontId="2" type="noConversion"/>
  </si>
  <si>
    <t>회사보유재고</t>
    <phoneticPr fontId="2" type="noConversion"/>
  </si>
  <si>
    <t>판매오더수량</t>
    <phoneticPr fontId="2" type="noConversion"/>
  </si>
  <si>
    <t>수입업체보유재고</t>
    <phoneticPr fontId="2" type="noConversion"/>
  </si>
  <si>
    <t>비고</t>
    <phoneticPr fontId="2" type="noConversion"/>
  </si>
  <si>
    <t>불량률</t>
    <phoneticPr fontId="2" type="noConversion"/>
  </si>
  <si>
    <t>공정개수</t>
    <phoneticPr fontId="2" type="noConversion"/>
  </si>
  <si>
    <t>[표2] 펀드 수익률</t>
    <phoneticPr fontId="2" type="noConversion"/>
  </si>
  <si>
    <t>평균불량률</t>
    <phoneticPr fontId="2" type="noConversion"/>
  </si>
  <si>
    <t>지역</t>
    <phoneticPr fontId="2" type="noConversion"/>
  </si>
  <si>
    <t>청주</t>
    <phoneticPr fontId="2" type="noConversion"/>
  </si>
  <si>
    <t>광주</t>
    <phoneticPr fontId="2" type="noConversion"/>
  </si>
  <si>
    <t>부산</t>
    <phoneticPr fontId="2" type="noConversion"/>
  </si>
  <si>
    <t>대구</t>
    <phoneticPr fontId="2" type="noConversion"/>
  </si>
  <si>
    <t>인천</t>
    <phoneticPr fontId="2" type="noConversion"/>
  </si>
  <si>
    <t>제주</t>
    <phoneticPr fontId="2" type="noConversion"/>
  </si>
  <si>
    <t>[표4] 지역별 불량률 현황</t>
    <phoneticPr fontId="2" type="noConversion"/>
  </si>
  <si>
    <t>제품명</t>
    <phoneticPr fontId="2" type="noConversion"/>
  </si>
  <si>
    <t>컴퓨터</t>
    <phoneticPr fontId="2" type="noConversion"/>
  </si>
  <si>
    <t>노트북</t>
    <phoneticPr fontId="2" type="noConversion"/>
  </si>
  <si>
    <t>프린터</t>
    <phoneticPr fontId="2" type="noConversion"/>
  </si>
  <si>
    <t>컴퓨터</t>
    <phoneticPr fontId="2" type="noConversion"/>
  </si>
  <si>
    <t>판매지점</t>
    <phoneticPr fontId="2" type="noConversion"/>
  </si>
  <si>
    <t>판매량</t>
    <phoneticPr fontId="2" type="noConversion"/>
  </si>
  <si>
    <t>강남</t>
    <phoneticPr fontId="2" type="noConversion"/>
  </si>
  <si>
    <t>강북</t>
    <phoneticPr fontId="2" type="noConversion"/>
  </si>
  <si>
    <t>서초</t>
    <phoneticPr fontId="2" type="noConversion"/>
  </si>
  <si>
    <t>강남</t>
    <phoneticPr fontId="2" type="noConversion"/>
  </si>
  <si>
    <t>노원</t>
    <phoneticPr fontId="2" type="noConversion"/>
  </si>
  <si>
    <t>서초</t>
    <phoneticPr fontId="2" type="noConversion"/>
  </si>
  <si>
    <t>[표5] 1/4분기 판매 현황</t>
    <phoneticPr fontId="2" type="noConversion"/>
  </si>
  <si>
    <t>강북판매량</t>
    <phoneticPr fontId="2" type="noConversion"/>
  </si>
  <si>
    <t>중급</t>
    <phoneticPr fontId="2" type="noConversion"/>
  </si>
  <si>
    <t>초급</t>
    <phoneticPr fontId="2" type="noConversion"/>
  </si>
  <si>
    <t>고급</t>
    <phoneticPr fontId="2" type="noConversion"/>
  </si>
  <si>
    <t>총비용</t>
    <phoneticPr fontId="2" type="noConversion"/>
  </si>
  <si>
    <t>합계</t>
    <phoneticPr fontId="2" type="noConversion"/>
  </si>
  <si>
    <t>할인율</t>
    <phoneticPr fontId="2" type="noConversion"/>
  </si>
  <si>
    <t>2007년</t>
    <phoneticPr fontId="2" type="noConversion"/>
  </si>
  <si>
    <t>2008년</t>
    <phoneticPr fontId="2" type="noConversion"/>
  </si>
  <si>
    <t>2009년</t>
    <phoneticPr fontId="2" type="noConversion"/>
  </si>
  <si>
    <t>2010년</t>
    <phoneticPr fontId="2" type="noConversion"/>
  </si>
  <si>
    <t>모델</t>
    <phoneticPr fontId="2" type="noConversion"/>
  </si>
  <si>
    <t>원가</t>
    <phoneticPr fontId="2" type="noConversion"/>
  </si>
  <si>
    <t>판매액</t>
    <phoneticPr fontId="2" type="noConversion"/>
  </si>
  <si>
    <t>판매이익</t>
    <phoneticPr fontId="2" type="noConversion"/>
  </si>
  <si>
    <t>마진율</t>
    <phoneticPr fontId="2" type="noConversion"/>
  </si>
  <si>
    <t>핸드폰 판매 마진율 현황</t>
    <phoneticPr fontId="2" type="noConversion"/>
  </si>
  <si>
    <t>교원 임용고시 응시현황</t>
    <phoneticPr fontId="2" type="noConversion"/>
  </si>
  <si>
    <t>IM400</t>
    <phoneticPr fontId="2" type="noConversion"/>
  </si>
  <si>
    <t>PG100</t>
    <phoneticPr fontId="2" type="noConversion"/>
  </si>
  <si>
    <t>LPX30</t>
    <phoneticPr fontId="2" type="noConversion"/>
  </si>
  <si>
    <t>MS230</t>
    <phoneticPr fontId="2" type="noConversion"/>
  </si>
  <si>
    <t>ST600</t>
    <phoneticPr fontId="2" type="noConversion"/>
  </si>
  <si>
    <t>CH230</t>
    <phoneticPr fontId="2" type="noConversion"/>
  </si>
  <si>
    <t>대한상사 명예퇴임 신청자 현황</t>
    <phoneticPr fontId="2" type="noConversion"/>
  </si>
  <si>
    <t>분기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</si>
</sst>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8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b/>
      <sz val="16"/>
      <name val="굴림체"/>
      <family val="3"/>
      <charset val="129"/>
    </font>
    <font>
      <sz val="14"/>
      <name val="돋움"/>
      <family val="3"/>
      <charset val="129"/>
    </font>
    <font>
      <sz val="11"/>
      <name val="굴림체"/>
      <family val="3"/>
      <charset val="129"/>
    </font>
    <font>
      <sz val="11"/>
      <name val="궁서체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6" fillId="0" borderId="1" applyNumberFormat="0" applyBorder="0">
      <alignment horizontal="center"/>
    </xf>
    <xf numFmtId="9" fontId="1" fillId="0" borderId="0" applyFont="0" applyFill="0" applyBorder="0" applyAlignment="0" applyProtection="0"/>
    <xf numFmtId="14" fontId="7" fillId="0" borderId="2" applyNumberFormat="0" applyBorder="0" applyAlignment="0"/>
    <xf numFmtId="41" fontId="1" fillId="0" borderId="0" applyFont="0" applyFill="0" applyBorder="0" applyAlignment="0" applyProtection="0"/>
  </cellStyleXfs>
  <cellXfs count="38">
    <xf numFmtId="0" fontId="0" fillId="0" borderId="0" xfId="0"/>
    <xf numFmtId="41" fontId="3" fillId="0" borderId="0" xfId="4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41" fontId="3" fillId="0" borderId="3" xfId="4" applyFont="1" applyBorder="1" applyAlignment="1">
      <alignment horizontal="center" vertical="center"/>
    </xf>
    <xf numFmtId="0" fontId="3" fillId="0" borderId="3" xfId="4" applyNumberFormat="1" applyFont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41" fontId="0" fillId="0" borderId="3" xfId="0" applyNumberFormat="1" applyBorder="1" applyAlignment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0" fillId="0" borderId="3" xfId="0" applyBorder="1" applyAlignment="1">
      <alignment horizontal="center" vertical="center"/>
    </xf>
    <xf numFmtId="41" fontId="0" fillId="0" borderId="3" xfId="4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1" fontId="0" fillId="0" borderId="3" xfId="4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9" fontId="0" fillId="0" borderId="3" xfId="0" applyNumberFormat="1" applyFill="1" applyBorder="1" applyAlignment="1">
      <alignment horizontal="center" vertical="center"/>
    </xf>
    <xf numFmtId="41" fontId="3" fillId="0" borderId="3" xfId="4" applyFont="1" applyBorder="1" applyAlignment="1">
      <alignment vertical="center"/>
    </xf>
    <xf numFmtId="41" fontId="0" fillId="0" borderId="3" xfId="4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" xfId="4" applyNumberFormat="1" applyFont="1" applyBorder="1" applyAlignment="1">
      <alignment horizontal="center" vertical="center"/>
    </xf>
    <xf numFmtId="0" fontId="0" fillId="0" borderId="3" xfId="4" applyNumberFormat="1" applyFont="1" applyFill="1" applyBorder="1" applyAlignment="1">
      <alignment horizontal="center" vertical="center"/>
    </xf>
    <xf numFmtId="41" fontId="0" fillId="0" borderId="0" xfId="0" applyNumberFormat="1" applyAlignment="1">
      <alignment horizontal="center" vertical="center"/>
    </xf>
    <xf numFmtId="0" fontId="0" fillId="0" borderId="3" xfId="2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3" xfId="0" applyNumberFormat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3" xfId="0" applyFill="1" applyBorder="1" applyAlignment="1">
      <alignment vertical="center"/>
    </xf>
    <xf numFmtId="1" fontId="0" fillId="0" borderId="3" xfId="0" applyNumberFormat="1" applyFill="1" applyBorder="1" applyAlignment="1">
      <alignment vertical="center"/>
    </xf>
    <xf numFmtId="9" fontId="3" fillId="0" borderId="3" xfId="2" applyFont="1" applyBorder="1" applyAlignment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5">
    <cellStyle name="굴림체" xfId="1"/>
    <cellStyle name="백분율" xfId="2" builtinId="5"/>
    <cellStyle name="본문" xfId="3"/>
    <cellStyle name="쉼표 [0]" xfId="4" builtinId="6"/>
    <cellStyle name="표준" xfId="0" builtinId="0"/>
  </cellStyles>
  <dxfs count="1">
    <dxf>
      <font>
        <b/>
        <i val="0"/>
        <condense val="0"/>
        <extend val="0"/>
      </font>
      <fill>
        <patternFill>
          <bgColor indexed="1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7762237762241"/>
          <c:y val="7.6023608894168301E-2"/>
          <c:w val="0.69580419580419584"/>
          <c:h val="0.789475938516363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판매액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차트작업!$A$4:$A$9</c:f>
              <c:strCache>
                <c:ptCount val="6"/>
                <c:pt idx="0">
                  <c:v>IM400</c:v>
                </c:pt>
                <c:pt idx="1">
                  <c:v>PG100</c:v>
                </c:pt>
                <c:pt idx="2">
                  <c:v>LPX30</c:v>
                </c:pt>
                <c:pt idx="3">
                  <c:v>MS230</c:v>
                </c:pt>
                <c:pt idx="4">
                  <c:v>ST600</c:v>
                </c:pt>
                <c:pt idx="5">
                  <c:v>CH230</c:v>
                </c:pt>
              </c:strCache>
            </c:strRef>
          </c:cat>
          <c:val>
            <c:numRef>
              <c:f>차트작업!$C$4:$C$9</c:f>
              <c:numCache>
                <c:formatCode>_(* #,##0_);_(* \(#,##0\);_(* "-"_);_(@_)</c:formatCode>
                <c:ptCount val="6"/>
                <c:pt idx="0">
                  <c:v>300</c:v>
                </c:pt>
                <c:pt idx="1">
                  <c:v>220</c:v>
                </c:pt>
                <c:pt idx="2">
                  <c:v>580</c:v>
                </c:pt>
                <c:pt idx="3">
                  <c:v>420</c:v>
                </c:pt>
                <c:pt idx="4">
                  <c:v>290</c:v>
                </c:pt>
                <c:pt idx="5">
                  <c:v>540</c:v>
                </c:pt>
              </c:numCache>
            </c:numRef>
          </c:val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판매이익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차트작업!$A$4:$A$9</c:f>
              <c:strCache>
                <c:ptCount val="6"/>
                <c:pt idx="0">
                  <c:v>IM400</c:v>
                </c:pt>
                <c:pt idx="1">
                  <c:v>PG100</c:v>
                </c:pt>
                <c:pt idx="2">
                  <c:v>LPX30</c:v>
                </c:pt>
                <c:pt idx="3">
                  <c:v>MS230</c:v>
                </c:pt>
                <c:pt idx="4">
                  <c:v>ST600</c:v>
                </c:pt>
                <c:pt idx="5">
                  <c:v>CH230</c:v>
                </c:pt>
              </c:strCache>
            </c:strRef>
          </c:cat>
          <c:val>
            <c:numRef>
              <c:f>차트작업!$D$4:$D$9</c:f>
              <c:numCache>
                <c:formatCode>_(* #,##0_);_(* \(#,##0\);_(* "-"_);_(@_)</c:formatCode>
                <c:ptCount val="6"/>
                <c:pt idx="0">
                  <c:v>90</c:v>
                </c:pt>
                <c:pt idx="1">
                  <c:v>60</c:v>
                </c:pt>
                <c:pt idx="2">
                  <c:v>140</c:v>
                </c:pt>
                <c:pt idx="3">
                  <c:v>100</c:v>
                </c:pt>
                <c:pt idx="4">
                  <c:v>60</c:v>
                </c:pt>
                <c:pt idx="5">
                  <c:v>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155392"/>
        <c:axId val="124156928"/>
      </c:barChart>
      <c:catAx>
        <c:axId val="1241553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24156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4156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_);_(@_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241553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741258741258739"/>
          <c:y val="0.41228187900298985"/>
          <c:w val="0.14860139860139868"/>
          <c:h val="0.119883383256188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8</xdr:col>
      <xdr:colOff>0</xdr:colOff>
      <xdr:row>30</xdr:row>
      <xdr:rowOff>0</xdr:rowOff>
    </xdr:to>
    <xdr:graphicFrame macro="">
      <xdr:nvGraphicFramePr>
        <xdr:cNvPr id="2150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workbookViewId="0"/>
  </sheetViews>
  <sheetFormatPr defaultRowHeight="13.5" x14ac:dyDescent="0.15"/>
  <cols>
    <col min="1" max="1" width="10" style="7" bestFit="1" customWidth="1"/>
    <col min="2" max="2" width="8.88671875" style="7"/>
    <col min="3" max="3" width="16" style="7" bestFit="1" customWidth="1"/>
    <col min="4" max="4" width="8.88671875" style="7"/>
    <col min="5" max="5" width="11.44140625" style="7" bestFit="1" customWidth="1"/>
    <col min="6" max="16384" width="8.88671875" style="7"/>
  </cols>
  <sheetData>
    <row r="1" spans="1:5" x14ac:dyDescent="0.15">
      <c r="A1" s="7" t="s">
        <v>214</v>
      </c>
    </row>
    <row r="4" spans="1:5" x14ac:dyDescent="0.15">
      <c r="E4" s="8"/>
    </row>
    <row r="5" spans="1:5" x14ac:dyDescent="0.15">
      <c r="E5" s="8"/>
    </row>
    <row r="6" spans="1:5" x14ac:dyDescent="0.15">
      <c r="E6" s="8"/>
    </row>
    <row r="7" spans="1:5" x14ac:dyDescent="0.15">
      <c r="E7" s="8"/>
    </row>
    <row r="8" spans="1:5" x14ac:dyDescent="0.15">
      <c r="E8" s="8"/>
    </row>
    <row r="9" spans="1:5" x14ac:dyDescent="0.15">
      <c r="E9" s="8"/>
    </row>
  </sheetData>
  <phoneticPr fontId="2" type="noConversion"/>
  <printOptions headings="1" gridLines="1"/>
  <pageMargins left="0.75" right="0.75" top="1" bottom="1" header="0.5" footer="0.5"/>
  <pageSetup paperSize="9" orientation="portrait" r:id="rId1"/>
  <headerFooter alignWithMargins="0">
    <oddFooter>&amp;C&amp;F&amp;A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4"/>
  <sheetViews>
    <sheetView workbookViewId="0"/>
  </sheetViews>
  <sheetFormatPr defaultRowHeight="13.5" x14ac:dyDescent="0.15"/>
  <cols>
    <col min="1" max="1" width="8.88671875" style="7"/>
    <col min="2" max="2" width="8.77734375" style="7" bestFit="1" customWidth="1"/>
    <col min="3" max="3" width="6.5546875" style="7" bestFit="1" customWidth="1"/>
    <col min="4" max="4" width="8.21875" style="7" bestFit="1" customWidth="1"/>
    <col min="5" max="8" width="7.5546875" style="7" bestFit="1" customWidth="1"/>
    <col min="9" max="9" width="8.21875" style="7" bestFit="1" customWidth="1"/>
    <col min="10" max="10" width="9.21875" style="7" bestFit="1" customWidth="1"/>
    <col min="11" max="16384" width="8.88671875" style="7"/>
  </cols>
  <sheetData>
    <row r="1" spans="1:9" x14ac:dyDescent="0.15">
      <c r="A1" s="7" t="s">
        <v>102</v>
      </c>
    </row>
    <row r="3" spans="1:9" x14ac:dyDescent="0.15">
      <c r="A3" s="7" t="s">
        <v>68</v>
      </c>
      <c r="B3" s="7" t="s">
        <v>69</v>
      </c>
      <c r="C3" s="7" t="s">
        <v>70</v>
      </c>
      <c r="D3" s="7" t="s">
        <v>71</v>
      </c>
      <c r="E3" s="7" t="s">
        <v>215</v>
      </c>
      <c r="I3" s="7" t="s">
        <v>76</v>
      </c>
    </row>
    <row r="4" spans="1:9" x14ac:dyDescent="0.15">
      <c r="E4" s="7" t="s">
        <v>72</v>
      </c>
      <c r="F4" s="7" t="s">
        <v>73</v>
      </c>
      <c r="G4" s="7" t="s">
        <v>74</v>
      </c>
      <c r="H4" s="7" t="s">
        <v>75</v>
      </c>
    </row>
    <row r="5" spans="1:9" x14ac:dyDescent="0.15">
      <c r="A5" s="7" t="s">
        <v>77</v>
      </c>
      <c r="B5" s="7" t="s">
        <v>78</v>
      </c>
      <c r="C5" s="7" t="s">
        <v>79</v>
      </c>
      <c r="D5" s="7" t="s">
        <v>103</v>
      </c>
      <c r="E5" s="7">
        <v>4200</v>
      </c>
      <c r="F5" s="7">
        <v>3600</v>
      </c>
      <c r="G5" s="7">
        <v>2800</v>
      </c>
      <c r="H5" s="7">
        <v>6300</v>
      </c>
      <c r="I5" s="7">
        <f t="shared" ref="I5:I14" si="0">SUM(E5:H5)</f>
        <v>16900</v>
      </c>
    </row>
    <row r="6" spans="1:9" x14ac:dyDescent="0.15">
      <c r="A6" s="7" t="s">
        <v>80</v>
      </c>
      <c r="B6" s="7" t="s">
        <v>81</v>
      </c>
      <c r="C6" s="7" t="s">
        <v>82</v>
      </c>
      <c r="D6" s="7" t="s">
        <v>104</v>
      </c>
      <c r="E6" s="7">
        <v>3960</v>
      </c>
      <c r="F6" s="7">
        <v>2980</v>
      </c>
      <c r="G6" s="7">
        <v>2640</v>
      </c>
      <c r="H6" s="7">
        <v>4450</v>
      </c>
      <c r="I6" s="7">
        <f t="shared" si="0"/>
        <v>14030</v>
      </c>
    </row>
    <row r="7" spans="1:9" x14ac:dyDescent="0.15">
      <c r="A7" s="7" t="s">
        <v>83</v>
      </c>
      <c r="B7" s="7" t="s">
        <v>84</v>
      </c>
      <c r="C7" s="7" t="s">
        <v>79</v>
      </c>
      <c r="D7" s="7" t="s">
        <v>105</v>
      </c>
      <c r="E7" s="7">
        <v>5600</v>
      </c>
      <c r="F7" s="7">
        <v>4760</v>
      </c>
      <c r="G7" s="7">
        <v>3990</v>
      </c>
      <c r="H7" s="7">
        <v>6880</v>
      </c>
      <c r="I7" s="7">
        <f t="shared" si="0"/>
        <v>21230</v>
      </c>
    </row>
    <row r="8" spans="1:9" x14ac:dyDescent="0.15">
      <c r="A8" s="7" t="s">
        <v>86</v>
      </c>
      <c r="B8" s="7" t="s">
        <v>87</v>
      </c>
      <c r="C8" s="7" t="s">
        <v>88</v>
      </c>
      <c r="D8" s="7" t="s">
        <v>104</v>
      </c>
      <c r="E8" s="7">
        <v>3390</v>
      </c>
      <c r="F8" s="7">
        <v>3760</v>
      </c>
      <c r="G8" s="7">
        <v>3000</v>
      </c>
      <c r="H8" s="7">
        <v>4500</v>
      </c>
      <c r="I8" s="7">
        <f t="shared" si="0"/>
        <v>14650</v>
      </c>
    </row>
    <row r="9" spans="1:9" x14ac:dyDescent="0.15">
      <c r="A9" s="7" t="s">
        <v>89</v>
      </c>
      <c r="B9" s="7" t="s">
        <v>90</v>
      </c>
      <c r="C9" s="7" t="s">
        <v>88</v>
      </c>
      <c r="D9" s="7" t="s">
        <v>106</v>
      </c>
      <c r="E9" s="7">
        <v>3280</v>
      </c>
      <c r="F9" s="7">
        <v>3540</v>
      </c>
      <c r="G9" s="7">
        <v>2080</v>
      </c>
      <c r="H9" s="7">
        <v>3700</v>
      </c>
      <c r="I9" s="7">
        <f t="shared" si="0"/>
        <v>12600</v>
      </c>
    </row>
    <row r="10" spans="1:9" x14ac:dyDescent="0.15">
      <c r="A10" s="7" t="s">
        <v>91</v>
      </c>
      <c r="B10" s="7" t="s">
        <v>92</v>
      </c>
      <c r="C10" s="7" t="s">
        <v>88</v>
      </c>
      <c r="D10" s="7" t="s">
        <v>85</v>
      </c>
      <c r="E10" s="7">
        <v>4270</v>
      </c>
      <c r="F10" s="7">
        <v>3330</v>
      </c>
      <c r="G10" s="7">
        <v>3060</v>
      </c>
      <c r="H10" s="7">
        <v>3890</v>
      </c>
      <c r="I10" s="7">
        <f t="shared" si="0"/>
        <v>14550</v>
      </c>
    </row>
    <row r="11" spans="1:9" x14ac:dyDescent="0.15">
      <c r="A11" s="7" t="s">
        <v>93</v>
      </c>
      <c r="B11" s="7" t="s">
        <v>94</v>
      </c>
      <c r="C11" s="7" t="s">
        <v>95</v>
      </c>
      <c r="D11" s="7" t="s">
        <v>96</v>
      </c>
      <c r="E11" s="7">
        <v>4190</v>
      </c>
      <c r="F11" s="7">
        <v>4020</v>
      </c>
      <c r="G11" s="7">
        <v>4780</v>
      </c>
      <c r="H11" s="7">
        <v>6100</v>
      </c>
      <c r="I11" s="7">
        <f t="shared" si="0"/>
        <v>19090</v>
      </c>
    </row>
    <row r="12" spans="1:9" x14ac:dyDescent="0.15">
      <c r="A12" s="7" t="s">
        <v>97</v>
      </c>
      <c r="B12" s="7" t="s">
        <v>98</v>
      </c>
      <c r="C12" s="7" t="s">
        <v>95</v>
      </c>
      <c r="D12" s="7" t="s">
        <v>107</v>
      </c>
      <c r="E12" s="7">
        <v>3830</v>
      </c>
      <c r="F12" s="7">
        <v>4320</v>
      </c>
      <c r="G12" s="7">
        <v>5000</v>
      </c>
      <c r="H12" s="7">
        <v>6000</v>
      </c>
      <c r="I12" s="7">
        <f t="shared" si="0"/>
        <v>19150</v>
      </c>
    </row>
    <row r="13" spans="1:9" x14ac:dyDescent="0.15">
      <c r="A13" s="7" t="s">
        <v>99</v>
      </c>
      <c r="B13" s="7" t="s">
        <v>100</v>
      </c>
      <c r="C13" s="7" t="s">
        <v>82</v>
      </c>
      <c r="D13" s="7" t="s">
        <v>108</v>
      </c>
      <c r="E13" s="7">
        <v>2010</v>
      </c>
      <c r="F13" s="7">
        <v>2020</v>
      </c>
      <c r="G13" s="7">
        <v>2400</v>
      </c>
      <c r="H13" s="7">
        <v>2350</v>
      </c>
      <c r="I13" s="7">
        <f t="shared" si="0"/>
        <v>8780</v>
      </c>
    </row>
    <row r="14" spans="1:9" x14ac:dyDescent="0.15">
      <c r="A14" s="7" t="s">
        <v>101</v>
      </c>
      <c r="B14" s="7" t="s">
        <v>1</v>
      </c>
      <c r="C14" s="7" t="s">
        <v>82</v>
      </c>
      <c r="D14" s="7" t="s">
        <v>109</v>
      </c>
      <c r="E14" s="7">
        <v>1980</v>
      </c>
      <c r="F14" s="7">
        <v>2010</v>
      </c>
      <c r="G14" s="7">
        <v>2300</v>
      </c>
      <c r="H14" s="7">
        <v>2400</v>
      </c>
      <c r="I14" s="7">
        <f t="shared" si="0"/>
        <v>8690</v>
      </c>
    </row>
  </sheetData>
  <phoneticPr fontId="2" type="noConversion"/>
  <printOptions headings="1" gridLines="1"/>
  <pageMargins left="0.75" right="0.75" top="0.41" bottom="1" header="0.28000000000000003" footer="0.5"/>
  <pageSetup paperSize="9" orientation="landscape" r:id="rId1"/>
  <headerFooter alignWithMargins="0">
    <oddFooter>&amp;C&amp;F&amp;A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"/>
  <sheetViews>
    <sheetView workbookViewId="0"/>
  </sheetViews>
  <sheetFormatPr defaultRowHeight="13.5" x14ac:dyDescent="0.15"/>
  <cols>
    <col min="1" max="2" width="8.88671875" style="7"/>
    <col min="3" max="3" width="11.5546875" style="7" bestFit="1" customWidth="1"/>
    <col min="4" max="6" width="9.88671875" style="7" bestFit="1" customWidth="1"/>
    <col min="7" max="7" width="11.5546875" style="7" bestFit="1" customWidth="1"/>
    <col min="8" max="16384" width="8.88671875" style="7"/>
  </cols>
  <sheetData>
    <row r="1" spans="1:7" ht="20.25" x14ac:dyDescent="0.15">
      <c r="A1" s="2" t="s">
        <v>110</v>
      </c>
      <c r="B1" s="2"/>
      <c r="C1" s="2"/>
      <c r="D1" s="2"/>
      <c r="E1" s="2"/>
      <c r="F1" s="2"/>
      <c r="G1" s="2"/>
    </row>
    <row r="3" spans="1:7" x14ac:dyDescent="0.15">
      <c r="A3" s="5" t="s">
        <v>0</v>
      </c>
      <c r="B3" s="5" t="s">
        <v>121</v>
      </c>
      <c r="C3" s="5" t="s">
        <v>126</v>
      </c>
      <c r="D3" s="5" t="s">
        <v>127</v>
      </c>
      <c r="E3" s="5" t="s">
        <v>128</v>
      </c>
      <c r="F3" s="5" t="s">
        <v>129</v>
      </c>
      <c r="G3" s="5" t="s">
        <v>130</v>
      </c>
    </row>
    <row r="4" spans="1:7" x14ac:dyDescent="0.15">
      <c r="A4" s="9" t="s">
        <v>111</v>
      </c>
      <c r="B4" s="9" t="s">
        <v>122</v>
      </c>
      <c r="C4" s="10">
        <v>1000000</v>
      </c>
      <c r="D4" s="10">
        <v>500000</v>
      </c>
      <c r="E4" s="10">
        <v>400000</v>
      </c>
      <c r="F4" s="10">
        <f>C4*18%</f>
        <v>180000</v>
      </c>
      <c r="G4" s="10">
        <f>SUM(C4:F4)</f>
        <v>2080000</v>
      </c>
    </row>
    <row r="5" spans="1:7" x14ac:dyDescent="0.15">
      <c r="A5" s="9" t="s">
        <v>115</v>
      </c>
      <c r="B5" s="9" t="s">
        <v>123</v>
      </c>
      <c r="C5" s="10">
        <v>900000</v>
      </c>
      <c r="D5" s="10">
        <v>300000</v>
      </c>
      <c r="E5" s="10">
        <v>270000</v>
      </c>
      <c r="F5" s="10">
        <f>C5*15%</f>
        <v>135000</v>
      </c>
      <c r="G5" s="10">
        <f t="shared" ref="G5:G13" si="0">SUM(C5:F5)</f>
        <v>1605000</v>
      </c>
    </row>
    <row r="6" spans="1:7" x14ac:dyDescent="0.15">
      <c r="A6" s="9" t="s">
        <v>116</v>
      </c>
      <c r="B6" s="9" t="s">
        <v>123</v>
      </c>
      <c r="C6" s="10">
        <v>950000</v>
      </c>
      <c r="D6" s="10">
        <v>350000</v>
      </c>
      <c r="E6" s="10">
        <v>280000</v>
      </c>
      <c r="F6" s="10">
        <f>C6*15%</f>
        <v>142500</v>
      </c>
      <c r="G6" s="10">
        <f t="shared" si="0"/>
        <v>1722500</v>
      </c>
    </row>
    <row r="7" spans="1:7" x14ac:dyDescent="0.15">
      <c r="A7" s="9" t="s">
        <v>117</v>
      </c>
      <c r="B7" s="9" t="s">
        <v>124</v>
      </c>
      <c r="C7" s="10">
        <v>1800000</v>
      </c>
      <c r="D7" s="10">
        <v>900000</v>
      </c>
      <c r="E7" s="10">
        <v>600000</v>
      </c>
      <c r="F7" s="10">
        <f>C7*20%</f>
        <v>360000</v>
      </c>
      <c r="G7" s="10">
        <f t="shared" si="0"/>
        <v>3660000</v>
      </c>
    </row>
    <row r="8" spans="1:7" x14ac:dyDescent="0.15">
      <c r="A8" s="9" t="s">
        <v>112</v>
      </c>
      <c r="B8" s="9" t="s">
        <v>122</v>
      </c>
      <c r="C8" s="10">
        <v>1200000</v>
      </c>
      <c r="D8" s="10">
        <v>600000</v>
      </c>
      <c r="E8" s="10">
        <v>500000</v>
      </c>
      <c r="F8" s="10">
        <f>C8*18%</f>
        <v>216000</v>
      </c>
      <c r="G8" s="10">
        <f t="shared" si="0"/>
        <v>2516000</v>
      </c>
    </row>
    <row r="9" spans="1:7" x14ac:dyDescent="0.15">
      <c r="A9" s="9" t="s">
        <v>118</v>
      </c>
      <c r="B9" s="9" t="s">
        <v>122</v>
      </c>
      <c r="C9" s="10">
        <v>1100000</v>
      </c>
      <c r="D9" s="10">
        <v>550000</v>
      </c>
      <c r="E9" s="10">
        <v>450000</v>
      </c>
      <c r="F9" s="10">
        <f>C9*18%</f>
        <v>198000</v>
      </c>
      <c r="G9" s="10">
        <f t="shared" si="0"/>
        <v>2298000</v>
      </c>
    </row>
    <row r="10" spans="1:7" x14ac:dyDescent="0.15">
      <c r="A10" s="9" t="s">
        <v>113</v>
      </c>
      <c r="B10" s="9" t="s">
        <v>125</v>
      </c>
      <c r="C10" s="10">
        <v>800000</v>
      </c>
      <c r="D10" s="10">
        <v>250000</v>
      </c>
      <c r="E10" s="10">
        <v>200000</v>
      </c>
      <c r="F10" s="10">
        <f>C10*10%</f>
        <v>80000</v>
      </c>
      <c r="G10" s="10">
        <f t="shared" si="0"/>
        <v>1330000</v>
      </c>
    </row>
    <row r="11" spans="1:7" x14ac:dyDescent="0.15">
      <c r="A11" s="9" t="s">
        <v>119</v>
      </c>
      <c r="B11" s="9" t="s">
        <v>125</v>
      </c>
      <c r="C11" s="10">
        <v>850000</v>
      </c>
      <c r="D11" s="10">
        <v>280000</v>
      </c>
      <c r="E11" s="10">
        <v>220000</v>
      </c>
      <c r="F11" s="10">
        <f>C11*10%</f>
        <v>85000</v>
      </c>
      <c r="G11" s="10">
        <f t="shared" si="0"/>
        <v>1435000</v>
      </c>
    </row>
    <row r="12" spans="1:7" x14ac:dyDescent="0.15">
      <c r="A12" s="9" t="s">
        <v>114</v>
      </c>
      <c r="B12" s="9" t="s">
        <v>123</v>
      </c>
      <c r="C12" s="10">
        <v>900000</v>
      </c>
      <c r="D12" s="10">
        <v>370000</v>
      </c>
      <c r="E12" s="10">
        <v>300000</v>
      </c>
      <c r="F12" s="10">
        <f>C12*15%</f>
        <v>135000</v>
      </c>
      <c r="G12" s="10">
        <f t="shared" si="0"/>
        <v>1705000</v>
      </c>
    </row>
    <row r="13" spans="1:7" x14ac:dyDescent="0.15">
      <c r="A13" s="9" t="s">
        <v>120</v>
      </c>
      <c r="B13" s="9" t="s">
        <v>122</v>
      </c>
      <c r="C13" s="10">
        <v>1200000</v>
      </c>
      <c r="D13" s="10">
        <v>600000</v>
      </c>
      <c r="E13" s="10">
        <v>500000</v>
      </c>
      <c r="F13" s="10">
        <f>C13*18%</f>
        <v>216000</v>
      </c>
      <c r="G13" s="10">
        <f t="shared" si="0"/>
        <v>2516000</v>
      </c>
    </row>
  </sheetData>
  <phoneticPr fontId="2" type="noConversion"/>
  <conditionalFormatting sqref="A3:G3">
    <cfRule type="expression" dxfId="0" priority="1" stopIfTrue="1">
      <formula>$C3="30대"</formula>
    </cfRule>
  </conditionalFormatting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41"/>
  <sheetViews>
    <sheetView workbookViewId="0"/>
  </sheetViews>
  <sheetFormatPr defaultRowHeight="13.5" x14ac:dyDescent="0.15"/>
  <cols>
    <col min="1" max="1" width="12.21875" style="12" customWidth="1"/>
    <col min="2" max="2" width="11.77734375" style="12" bestFit="1" customWidth="1"/>
    <col min="3" max="3" width="15.44140625" style="12" bestFit="1" customWidth="1"/>
    <col min="4" max="4" width="11.5546875" style="12" bestFit="1" customWidth="1"/>
    <col min="5" max="5" width="4.5546875" style="12" customWidth="1"/>
    <col min="6" max="6" width="8.88671875" style="12"/>
    <col min="7" max="7" width="11.6640625" style="12" bestFit="1" customWidth="1"/>
    <col min="8" max="8" width="11.77734375" style="12" bestFit="1" customWidth="1"/>
    <col min="9" max="9" width="3.109375" style="12" customWidth="1"/>
    <col min="10" max="10" width="11.109375" style="12" customWidth="1"/>
    <col min="11" max="11" width="11.6640625" style="12" bestFit="1" customWidth="1"/>
    <col min="12" max="16384" width="8.88671875" style="12"/>
  </cols>
  <sheetData>
    <row r="1" spans="1:11" x14ac:dyDescent="0.15">
      <c r="A1" s="11" t="s">
        <v>131</v>
      </c>
      <c r="F1" s="11" t="s">
        <v>166</v>
      </c>
      <c r="J1" s="7"/>
    </row>
    <row r="2" spans="1:11" x14ac:dyDescent="0.15">
      <c r="A2" s="9" t="s">
        <v>132</v>
      </c>
      <c r="B2" s="5" t="s">
        <v>134</v>
      </c>
      <c r="C2" s="5" t="s">
        <v>145</v>
      </c>
      <c r="D2" s="5" t="s">
        <v>133</v>
      </c>
      <c r="F2" s="9" t="s">
        <v>148</v>
      </c>
      <c r="G2" s="9" t="s">
        <v>149</v>
      </c>
      <c r="H2" s="9" t="s">
        <v>147</v>
      </c>
    </row>
    <row r="3" spans="1:11" x14ac:dyDescent="0.15">
      <c r="A3" s="9" t="s">
        <v>136</v>
      </c>
      <c r="B3" s="13">
        <v>268</v>
      </c>
      <c r="C3" s="13">
        <v>1500</v>
      </c>
      <c r="D3" s="13">
        <f>B3*C3</f>
        <v>402000</v>
      </c>
      <c r="F3" s="14">
        <v>0.5</v>
      </c>
      <c r="G3" s="15">
        <v>39751</v>
      </c>
      <c r="H3" s="4" t="s">
        <v>150</v>
      </c>
    </row>
    <row r="4" spans="1:11" x14ac:dyDescent="0.15">
      <c r="A4" s="9" t="s">
        <v>140</v>
      </c>
      <c r="B4" s="13">
        <v>285</v>
      </c>
      <c r="C4" s="13">
        <v>1800</v>
      </c>
      <c r="D4" s="13">
        <f t="shared" ref="D4:D11" si="0">B4*C4</f>
        <v>513000</v>
      </c>
      <c r="F4" s="14">
        <v>0.36</v>
      </c>
      <c r="G4" s="15">
        <v>39716</v>
      </c>
      <c r="H4" s="3" t="s">
        <v>151</v>
      </c>
      <c r="J4" s="1"/>
    </row>
    <row r="5" spans="1:11" x14ac:dyDescent="0.15">
      <c r="A5" s="9" t="s">
        <v>142</v>
      </c>
      <c r="B5" s="13">
        <v>342</v>
      </c>
      <c r="C5" s="13">
        <v>2000</v>
      </c>
      <c r="D5" s="13">
        <f t="shared" si="0"/>
        <v>684000</v>
      </c>
      <c r="F5" s="14">
        <v>0.39</v>
      </c>
      <c r="G5" s="15">
        <v>39708</v>
      </c>
      <c r="H5" s="3" t="s">
        <v>152</v>
      </c>
      <c r="J5" s="3" t="s">
        <v>146</v>
      </c>
      <c r="K5" s="16" t="s">
        <v>147</v>
      </c>
    </row>
    <row r="6" spans="1:11" x14ac:dyDescent="0.15">
      <c r="A6" s="9" t="s">
        <v>138</v>
      </c>
      <c r="B6" s="13">
        <v>198</v>
      </c>
      <c r="C6" s="13">
        <v>1600</v>
      </c>
      <c r="D6" s="13">
        <f t="shared" si="0"/>
        <v>316800</v>
      </c>
      <c r="F6" s="14">
        <v>0.55000000000000004</v>
      </c>
      <c r="G6" s="15">
        <v>39754</v>
      </c>
      <c r="H6" s="3" t="s">
        <v>153</v>
      </c>
      <c r="J6" s="4">
        <v>1</v>
      </c>
      <c r="K6" s="9"/>
    </row>
    <row r="7" spans="1:11" x14ac:dyDescent="0.15">
      <c r="A7" s="9" t="s">
        <v>143</v>
      </c>
      <c r="B7" s="13">
        <v>264</v>
      </c>
      <c r="C7" s="13">
        <v>2100</v>
      </c>
      <c r="D7" s="13">
        <f t="shared" si="0"/>
        <v>554400</v>
      </c>
      <c r="F7" s="14">
        <v>0.4</v>
      </c>
      <c r="G7" s="15">
        <v>39732</v>
      </c>
      <c r="H7" s="3" t="s">
        <v>154</v>
      </c>
      <c r="J7" s="4">
        <v>2</v>
      </c>
      <c r="K7" s="9"/>
    </row>
    <row r="8" spans="1:11" x14ac:dyDescent="0.15">
      <c r="A8" s="9" t="s">
        <v>139</v>
      </c>
      <c r="B8" s="13">
        <v>400</v>
      </c>
      <c r="C8" s="13">
        <v>1500</v>
      </c>
      <c r="D8" s="13">
        <f t="shared" si="0"/>
        <v>600000</v>
      </c>
      <c r="F8" s="14">
        <v>0.42</v>
      </c>
      <c r="G8" s="15">
        <v>39726</v>
      </c>
      <c r="H8" s="3" t="s">
        <v>155</v>
      </c>
      <c r="J8" s="1"/>
    </row>
    <row r="9" spans="1:11" x14ac:dyDescent="0.15">
      <c r="A9" s="9" t="s">
        <v>144</v>
      </c>
      <c r="B9" s="13">
        <v>268</v>
      </c>
      <c r="C9" s="13">
        <v>2000</v>
      </c>
      <c r="D9" s="13">
        <f t="shared" si="0"/>
        <v>536000</v>
      </c>
      <c r="F9" s="14">
        <v>0.39</v>
      </c>
      <c r="G9" s="15">
        <v>39757</v>
      </c>
      <c r="H9" s="3" t="s">
        <v>156</v>
      </c>
      <c r="J9" s="1"/>
    </row>
    <row r="10" spans="1:11" x14ac:dyDescent="0.15">
      <c r="A10" s="9" t="s">
        <v>141</v>
      </c>
      <c r="B10" s="13">
        <v>329</v>
      </c>
      <c r="C10" s="13">
        <v>1700</v>
      </c>
      <c r="D10" s="13">
        <f t="shared" si="0"/>
        <v>559300</v>
      </c>
      <c r="F10" s="17">
        <v>0.51</v>
      </c>
      <c r="G10" s="15">
        <v>39721</v>
      </c>
      <c r="H10" s="18" t="s">
        <v>157</v>
      </c>
      <c r="J10" s="1"/>
    </row>
    <row r="11" spans="1:11" x14ac:dyDescent="0.15">
      <c r="A11" s="5" t="s">
        <v>137</v>
      </c>
      <c r="B11" s="19">
        <v>311</v>
      </c>
      <c r="C11" s="13">
        <v>1400</v>
      </c>
      <c r="D11" s="13">
        <f t="shared" si="0"/>
        <v>435400</v>
      </c>
      <c r="F11" s="17">
        <v>0.3</v>
      </c>
      <c r="G11" s="15">
        <v>39728</v>
      </c>
      <c r="H11" s="18" t="s">
        <v>158</v>
      </c>
      <c r="J11" s="1"/>
    </row>
    <row r="12" spans="1:11" x14ac:dyDescent="0.15">
      <c r="A12" s="34" t="s">
        <v>135</v>
      </c>
      <c r="B12" s="34"/>
      <c r="C12" s="34"/>
      <c r="D12" s="10"/>
      <c r="F12" s="7"/>
      <c r="G12" s="7"/>
      <c r="H12" s="7"/>
      <c r="I12" s="7"/>
      <c r="J12" s="7"/>
    </row>
    <row r="13" spans="1:11" x14ac:dyDescent="0.15">
      <c r="A13" s="7"/>
      <c r="B13" s="7"/>
      <c r="C13" s="7"/>
      <c r="D13" s="20"/>
      <c r="J13" s="7"/>
    </row>
    <row r="14" spans="1:11" x14ac:dyDescent="0.15">
      <c r="A14" s="11" t="s">
        <v>159</v>
      </c>
      <c r="F14" s="11" t="s">
        <v>175</v>
      </c>
    </row>
    <row r="15" spans="1:11" x14ac:dyDescent="0.15">
      <c r="A15" s="5" t="s">
        <v>160</v>
      </c>
      <c r="B15" s="9" t="s">
        <v>161</v>
      </c>
      <c r="C15" s="9" t="s">
        <v>162</v>
      </c>
      <c r="D15" s="16" t="s">
        <v>163</v>
      </c>
      <c r="F15" s="9" t="s">
        <v>168</v>
      </c>
      <c r="G15" s="9" t="s">
        <v>164</v>
      </c>
      <c r="H15" s="9" t="s">
        <v>165</v>
      </c>
    </row>
    <row r="16" spans="1:11" x14ac:dyDescent="0.15">
      <c r="A16" s="21">
        <v>100</v>
      </c>
      <c r="B16" s="22">
        <v>85</v>
      </c>
      <c r="C16" s="22">
        <v>50</v>
      </c>
      <c r="D16" s="9"/>
      <c r="E16" s="23"/>
      <c r="F16" s="9" t="s">
        <v>2</v>
      </c>
      <c r="G16" s="24">
        <v>10</v>
      </c>
      <c r="H16" s="9">
        <v>0</v>
      </c>
      <c r="I16" s="25"/>
    </row>
    <row r="17" spans="1:10" x14ac:dyDescent="0.15">
      <c r="A17" s="21">
        <v>98</v>
      </c>
      <c r="B17" s="22">
        <v>75</v>
      </c>
      <c r="C17" s="22">
        <v>46</v>
      </c>
      <c r="D17" s="9"/>
      <c r="E17" s="23"/>
      <c r="F17" s="9" t="s">
        <v>174</v>
      </c>
      <c r="G17" s="24">
        <v>8</v>
      </c>
      <c r="H17" s="9">
        <v>1</v>
      </c>
      <c r="I17" s="25"/>
    </row>
    <row r="18" spans="1:10" x14ac:dyDescent="0.15">
      <c r="A18" s="21">
        <v>75</v>
      </c>
      <c r="B18" s="22">
        <v>100</v>
      </c>
      <c r="C18" s="22">
        <v>55</v>
      </c>
      <c r="D18" s="9"/>
      <c r="E18" s="23"/>
      <c r="F18" s="9" t="s">
        <v>169</v>
      </c>
      <c r="G18" s="24">
        <v>11</v>
      </c>
      <c r="H18" s="9">
        <v>3</v>
      </c>
      <c r="I18" s="25"/>
    </row>
    <row r="19" spans="1:10" x14ac:dyDescent="0.15">
      <c r="A19" s="21">
        <v>48</v>
      </c>
      <c r="B19" s="22">
        <v>70</v>
      </c>
      <c r="C19" s="22">
        <v>10</v>
      </c>
      <c r="D19" s="9"/>
      <c r="E19" s="23"/>
      <c r="F19" s="9" t="s">
        <v>170</v>
      </c>
      <c r="G19" s="24">
        <v>9</v>
      </c>
      <c r="H19" s="9">
        <v>2</v>
      </c>
      <c r="I19" s="25"/>
    </row>
    <row r="20" spans="1:10" x14ac:dyDescent="0.15">
      <c r="A20" s="21">
        <v>65</v>
      </c>
      <c r="B20" s="22">
        <v>90</v>
      </c>
      <c r="C20" s="22">
        <v>33</v>
      </c>
      <c r="D20" s="9"/>
      <c r="E20" s="23"/>
      <c r="F20" s="9" t="s">
        <v>171</v>
      </c>
      <c r="G20" s="24">
        <v>9</v>
      </c>
      <c r="H20" s="9">
        <v>0</v>
      </c>
      <c r="I20" s="25"/>
    </row>
    <row r="21" spans="1:10" x14ac:dyDescent="0.15">
      <c r="A21" s="21">
        <v>78</v>
      </c>
      <c r="B21" s="22">
        <v>50</v>
      </c>
      <c r="C21" s="22">
        <v>18</v>
      </c>
      <c r="D21" s="9"/>
      <c r="E21" s="23"/>
      <c r="F21" s="9" t="s">
        <v>172</v>
      </c>
      <c r="G21" s="24">
        <v>10</v>
      </c>
      <c r="H21" s="9">
        <v>2</v>
      </c>
      <c r="I21" s="25"/>
    </row>
    <row r="22" spans="1:10" x14ac:dyDescent="0.15">
      <c r="A22" s="21">
        <v>43</v>
      </c>
      <c r="B22" s="22">
        <v>60</v>
      </c>
      <c r="C22" s="22">
        <v>10</v>
      </c>
      <c r="D22" s="9"/>
      <c r="E22" s="23"/>
      <c r="F22" s="9" t="s">
        <v>173</v>
      </c>
      <c r="G22" s="24">
        <v>12</v>
      </c>
      <c r="H22" s="9">
        <v>0</v>
      </c>
      <c r="I22" s="25"/>
    </row>
    <row r="23" spans="1:10" x14ac:dyDescent="0.15">
      <c r="A23" s="21">
        <v>55</v>
      </c>
      <c r="B23" s="22">
        <v>50</v>
      </c>
      <c r="C23" s="22">
        <v>27</v>
      </c>
      <c r="D23" s="9"/>
      <c r="E23" s="23"/>
    </row>
    <row r="24" spans="1:10" x14ac:dyDescent="0.15">
      <c r="A24" s="21">
        <v>71</v>
      </c>
      <c r="B24" s="22">
        <v>80</v>
      </c>
      <c r="C24" s="22">
        <v>26</v>
      </c>
      <c r="D24" s="9"/>
      <c r="E24" s="23"/>
      <c r="F24" s="32" t="s">
        <v>167</v>
      </c>
      <c r="G24" s="33"/>
      <c r="H24" s="24"/>
    </row>
    <row r="25" spans="1:10" x14ac:dyDescent="0.15">
      <c r="A25" s="21">
        <v>66</v>
      </c>
      <c r="B25" s="22">
        <v>60</v>
      </c>
      <c r="C25" s="22">
        <v>37</v>
      </c>
      <c r="D25" s="9"/>
      <c r="E25" s="23"/>
    </row>
    <row r="26" spans="1:10" x14ac:dyDescent="0.15">
      <c r="A26" s="7"/>
      <c r="B26" s="7"/>
      <c r="C26" s="7"/>
      <c r="D26" s="7"/>
    </row>
    <row r="27" spans="1:10" x14ac:dyDescent="0.15">
      <c r="D27" s="26"/>
    </row>
    <row r="29" spans="1:10" x14ac:dyDescent="0.15">
      <c r="A29" s="11" t="s">
        <v>189</v>
      </c>
    </row>
    <row r="30" spans="1:10" x14ac:dyDescent="0.15">
      <c r="A30" s="5" t="s">
        <v>176</v>
      </c>
      <c r="B30" s="5" t="s">
        <v>181</v>
      </c>
      <c r="C30" s="5" t="s">
        <v>182</v>
      </c>
    </row>
    <row r="31" spans="1:10" x14ac:dyDescent="0.15">
      <c r="A31" s="5" t="s">
        <v>177</v>
      </c>
      <c r="B31" s="5" t="s">
        <v>185</v>
      </c>
      <c r="C31" s="5">
        <v>98</v>
      </c>
      <c r="D31" s="26"/>
      <c r="F31" s="7"/>
      <c r="G31" s="7"/>
      <c r="H31" s="7"/>
      <c r="I31" s="7"/>
    </row>
    <row r="32" spans="1:10" x14ac:dyDescent="0.15">
      <c r="A32" s="5" t="s">
        <v>178</v>
      </c>
      <c r="B32" s="5" t="s">
        <v>183</v>
      </c>
      <c r="C32" s="5">
        <v>123</v>
      </c>
      <c r="D32" s="26"/>
      <c r="F32" s="7"/>
      <c r="G32" s="7"/>
      <c r="H32" s="7"/>
      <c r="I32" s="7"/>
      <c r="J32" s="7"/>
    </row>
    <row r="33" spans="1:10" x14ac:dyDescent="0.15">
      <c r="A33" s="5" t="s">
        <v>179</v>
      </c>
      <c r="B33" s="5" t="s">
        <v>188</v>
      </c>
      <c r="C33" s="5">
        <v>200</v>
      </c>
      <c r="D33" s="26"/>
      <c r="F33" s="7"/>
      <c r="G33" s="7"/>
      <c r="H33" s="7"/>
      <c r="I33" s="7"/>
      <c r="J33" s="7"/>
    </row>
    <row r="34" spans="1:10" x14ac:dyDescent="0.15">
      <c r="A34" s="5" t="s">
        <v>179</v>
      </c>
      <c r="B34" s="5" t="s">
        <v>187</v>
      </c>
      <c r="C34" s="5">
        <v>154</v>
      </c>
      <c r="D34" s="26"/>
      <c r="F34" s="7"/>
    </row>
    <row r="35" spans="1:10" x14ac:dyDescent="0.15">
      <c r="A35" s="5" t="s">
        <v>178</v>
      </c>
      <c r="B35" s="5" t="s">
        <v>184</v>
      </c>
      <c r="C35" s="5">
        <v>162</v>
      </c>
      <c r="D35" s="26"/>
      <c r="F35" s="7"/>
    </row>
    <row r="36" spans="1:10" x14ac:dyDescent="0.15">
      <c r="A36" s="5" t="s">
        <v>180</v>
      </c>
      <c r="B36" s="5" t="s">
        <v>186</v>
      </c>
      <c r="C36" s="5">
        <v>245</v>
      </c>
      <c r="D36" s="26"/>
      <c r="F36" s="7"/>
    </row>
    <row r="37" spans="1:10" x14ac:dyDescent="0.15">
      <c r="A37" s="5" t="s">
        <v>180</v>
      </c>
      <c r="B37" s="5" t="s">
        <v>184</v>
      </c>
      <c r="C37" s="5">
        <v>198</v>
      </c>
      <c r="D37" s="26"/>
      <c r="F37" s="7"/>
    </row>
    <row r="38" spans="1:10" x14ac:dyDescent="0.15">
      <c r="A38" s="5" t="s">
        <v>178</v>
      </c>
      <c r="B38" s="5" t="s">
        <v>187</v>
      </c>
      <c r="C38" s="5">
        <v>211</v>
      </c>
      <c r="D38" s="26"/>
      <c r="F38" s="7"/>
    </row>
    <row r="39" spans="1:10" x14ac:dyDescent="0.15">
      <c r="A39" s="5" t="s">
        <v>178</v>
      </c>
      <c r="B39" s="5" t="s">
        <v>188</v>
      </c>
      <c r="C39" s="5">
        <v>157</v>
      </c>
      <c r="F39" s="7"/>
    </row>
    <row r="40" spans="1:10" x14ac:dyDescent="0.15">
      <c r="A40" s="5" t="s">
        <v>179</v>
      </c>
      <c r="B40" s="5" t="s">
        <v>183</v>
      </c>
      <c r="C40" s="5">
        <v>188</v>
      </c>
      <c r="D40" s="16" t="s">
        <v>190</v>
      </c>
      <c r="F40" s="7"/>
    </row>
    <row r="41" spans="1:10" x14ac:dyDescent="0.15">
      <c r="A41" s="5" t="s">
        <v>180</v>
      </c>
      <c r="B41" s="5" t="s">
        <v>187</v>
      </c>
      <c r="C41" s="5">
        <v>215</v>
      </c>
      <c r="D41" s="9"/>
      <c r="F41" s="7"/>
    </row>
  </sheetData>
  <mergeCells count="2">
    <mergeCell ref="F24:G24"/>
    <mergeCell ref="A12:C12"/>
  </mergeCells>
  <phoneticPr fontId="2" type="noConversion"/>
  <printOptions headings="1" gridLines="1"/>
  <pageMargins left="0.75" right="0.75" top="0.46" bottom="0.47" header="0.28000000000000003" footer="0.3"/>
  <pageSetup paperSize="9" orientation="landscape" r:id="rId1"/>
  <headerFooter alignWithMargins="0">
    <oddFooter>&amp;C&amp;F&amp;A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5"/>
  <sheetViews>
    <sheetView workbookViewId="0">
      <selection sqref="A1:G1"/>
    </sheetView>
  </sheetViews>
  <sheetFormatPr defaultRowHeight="13.5" x14ac:dyDescent="0.15"/>
  <cols>
    <col min="1" max="1" width="4.88671875" style="7" bestFit="1" customWidth="1"/>
    <col min="2" max="2" width="8.21875" style="7" bestFit="1" customWidth="1"/>
    <col min="3" max="3" width="11.5546875" style="7" bestFit="1" customWidth="1"/>
    <col min="4" max="6" width="9.88671875" style="7" bestFit="1" customWidth="1"/>
    <col min="7" max="7" width="11.5546875" style="7" bestFit="1" customWidth="1"/>
    <col min="8" max="16384" width="8.88671875" style="7"/>
  </cols>
  <sheetData>
    <row r="1" spans="1:7" ht="18.75" x14ac:dyDescent="0.15">
      <c r="A1" s="37" t="s">
        <v>37</v>
      </c>
      <c r="B1" s="37"/>
      <c r="C1" s="37"/>
      <c r="D1" s="37"/>
      <c r="E1" s="37"/>
      <c r="F1" s="37"/>
      <c r="G1" s="37"/>
    </row>
    <row r="3" spans="1:7" x14ac:dyDescent="0.15">
      <c r="A3" s="9" t="s">
        <v>38</v>
      </c>
      <c r="B3" s="9" t="s">
        <v>39</v>
      </c>
      <c r="C3" s="9" t="s">
        <v>40</v>
      </c>
      <c r="D3" s="9" t="s">
        <v>41</v>
      </c>
      <c r="E3" s="9" t="s">
        <v>42</v>
      </c>
      <c r="F3" s="9" t="s">
        <v>43</v>
      </c>
      <c r="G3" s="9" t="s">
        <v>194</v>
      </c>
    </row>
    <row r="4" spans="1:7" x14ac:dyDescent="0.15">
      <c r="A4" s="9" t="s">
        <v>192</v>
      </c>
      <c r="B4" s="9" t="s">
        <v>45</v>
      </c>
      <c r="C4" s="18">
        <v>150000</v>
      </c>
      <c r="D4" s="18">
        <v>80000</v>
      </c>
      <c r="E4" s="18">
        <v>60000</v>
      </c>
      <c r="F4" s="18">
        <v>15000</v>
      </c>
      <c r="G4" s="6">
        <f>SUM(C4:F4)-SUM(C4:F4)*$G$15</f>
        <v>244000</v>
      </c>
    </row>
    <row r="5" spans="1:7" x14ac:dyDescent="0.15">
      <c r="A5" s="9" t="s">
        <v>191</v>
      </c>
      <c r="B5" s="9" t="s">
        <v>45</v>
      </c>
      <c r="C5" s="18">
        <v>150000</v>
      </c>
      <c r="D5" s="18">
        <v>80000</v>
      </c>
      <c r="E5" s="18">
        <v>70000</v>
      </c>
      <c r="F5" s="18">
        <v>15000</v>
      </c>
      <c r="G5" s="6">
        <f t="shared" ref="G5:G12" si="0">SUM(C5:F5)-SUM(C5:F5)*$G$15</f>
        <v>252000</v>
      </c>
    </row>
    <row r="6" spans="1:7" x14ac:dyDescent="0.15">
      <c r="A6" s="9" t="s">
        <v>193</v>
      </c>
      <c r="B6" s="9" t="s">
        <v>45</v>
      </c>
      <c r="C6" s="18">
        <v>150000</v>
      </c>
      <c r="D6" s="18">
        <v>80000</v>
      </c>
      <c r="E6" s="18">
        <v>80000</v>
      </c>
      <c r="F6" s="18">
        <v>15000</v>
      </c>
      <c r="G6" s="6">
        <f t="shared" si="0"/>
        <v>260000</v>
      </c>
    </row>
    <row r="7" spans="1:7" x14ac:dyDescent="0.15">
      <c r="A7" s="9" t="s">
        <v>192</v>
      </c>
      <c r="B7" s="9" t="s">
        <v>46</v>
      </c>
      <c r="C7" s="18">
        <v>120000</v>
      </c>
      <c r="D7" s="18">
        <v>110000</v>
      </c>
      <c r="E7" s="18">
        <v>90000</v>
      </c>
      <c r="F7" s="18">
        <v>15000</v>
      </c>
      <c r="G7" s="6">
        <f t="shared" si="0"/>
        <v>268000</v>
      </c>
    </row>
    <row r="8" spans="1:7" x14ac:dyDescent="0.15">
      <c r="A8" s="9" t="s">
        <v>191</v>
      </c>
      <c r="B8" s="9" t="s">
        <v>44</v>
      </c>
      <c r="C8" s="18">
        <v>120000</v>
      </c>
      <c r="D8" s="18">
        <v>110000</v>
      </c>
      <c r="E8" s="18">
        <v>100000</v>
      </c>
      <c r="F8" s="18">
        <v>15000</v>
      </c>
      <c r="G8" s="6">
        <f t="shared" si="0"/>
        <v>276000</v>
      </c>
    </row>
    <row r="9" spans="1:7" x14ac:dyDescent="0.15">
      <c r="A9" s="9" t="s">
        <v>193</v>
      </c>
      <c r="B9" s="9" t="s">
        <v>44</v>
      </c>
      <c r="C9" s="18">
        <v>120000</v>
      </c>
      <c r="D9" s="18">
        <v>110000</v>
      </c>
      <c r="E9" s="18">
        <v>110000</v>
      </c>
      <c r="F9" s="18">
        <v>15000</v>
      </c>
      <c r="G9" s="6">
        <f t="shared" si="0"/>
        <v>284000</v>
      </c>
    </row>
    <row r="10" spans="1:7" x14ac:dyDescent="0.15">
      <c r="A10" s="9" t="s">
        <v>192</v>
      </c>
      <c r="B10" s="9" t="s">
        <v>47</v>
      </c>
      <c r="C10" s="18">
        <v>100000</v>
      </c>
      <c r="D10" s="18">
        <v>130000</v>
      </c>
      <c r="E10" s="18">
        <v>120000</v>
      </c>
      <c r="F10" s="18">
        <v>15000</v>
      </c>
      <c r="G10" s="6">
        <f t="shared" si="0"/>
        <v>292000</v>
      </c>
    </row>
    <row r="11" spans="1:7" x14ac:dyDescent="0.15">
      <c r="A11" s="9" t="s">
        <v>191</v>
      </c>
      <c r="B11" s="9" t="s">
        <v>47</v>
      </c>
      <c r="C11" s="18">
        <v>100000</v>
      </c>
      <c r="D11" s="18">
        <v>130000</v>
      </c>
      <c r="E11" s="18">
        <v>130000</v>
      </c>
      <c r="F11" s="18">
        <v>15000</v>
      </c>
      <c r="G11" s="6">
        <f t="shared" si="0"/>
        <v>300000</v>
      </c>
    </row>
    <row r="12" spans="1:7" x14ac:dyDescent="0.15">
      <c r="A12" s="9" t="s">
        <v>193</v>
      </c>
      <c r="B12" s="9" t="s">
        <v>47</v>
      </c>
      <c r="C12" s="18">
        <v>100000</v>
      </c>
      <c r="D12" s="18">
        <v>130000</v>
      </c>
      <c r="E12" s="18">
        <v>140000</v>
      </c>
      <c r="F12" s="18">
        <v>15000</v>
      </c>
      <c r="G12" s="6">
        <f t="shared" si="0"/>
        <v>308000</v>
      </c>
    </row>
    <row r="13" spans="1:7" x14ac:dyDescent="0.15">
      <c r="A13" s="35" t="s">
        <v>195</v>
      </c>
      <c r="B13" s="35"/>
      <c r="C13" s="6">
        <f>SUM(C4:C12)</f>
        <v>1110000</v>
      </c>
      <c r="D13" s="6">
        <f>SUM(D4:D12)</f>
        <v>960000</v>
      </c>
      <c r="E13" s="6">
        <f>SUM(E4:E12)</f>
        <v>900000</v>
      </c>
      <c r="F13" s="6">
        <f>SUM(F4:F12)</f>
        <v>135000</v>
      </c>
      <c r="G13" s="6">
        <f>SUM(G4:G12)</f>
        <v>2484000</v>
      </c>
    </row>
    <row r="15" spans="1:7" x14ac:dyDescent="0.15">
      <c r="E15" s="36" t="s">
        <v>196</v>
      </c>
      <c r="F15" s="36"/>
      <c r="G15" s="27">
        <v>0.2</v>
      </c>
    </row>
  </sheetData>
  <mergeCells count="3">
    <mergeCell ref="A13:B13"/>
    <mergeCell ref="E15:F15"/>
    <mergeCell ref="A1:G1"/>
  </mergeCells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"/>
  <sheetViews>
    <sheetView workbookViewId="0">
      <selection sqref="A1:I1"/>
    </sheetView>
  </sheetViews>
  <sheetFormatPr defaultRowHeight="13.5" x14ac:dyDescent="0.15"/>
  <cols>
    <col min="1" max="2" width="8.21875" style="7" bestFit="1" customWidth="1"/>
    <col min="3" max="3" width="6.5546875" style="7" bestFit="1" customWidth="1"/>
    <col min="4" max="4" width="10.21875" style="7" bestFit="1" customWidth="1"/>
    <col min="5" max="8" width="8.88671875" style="7"/>
    <col min="9" max="9" width="10.44140625" style="7" bestFit="1" customWidth="1"/>
    <col min="10" max="10" width="6.5546875" style="7" customWidth="1"/>
    <col min="11" max="16384" width="8.88671875" style="7"/>
  </cols>
  <sheetData>
    <row r="1" spans="1:9" ht="18.75" x14ac:dyDescent="0.15">
      <c r="A1" s="37" t="s">
        <v>3</v>
      </c>
      <c r="B1" s="37"/>
      <c r="C1" s="37"/>
      <c r="D1" s="37"/>
      <c r="E1" s="37"/>
      <c r="F1" s="37"/>
      <c r="G1" s="37"/>
      <c r="H1" s="37"/>
      <c r="I1" s="37"/>
    </row>
    <row r="3" spans="1:9" x14ac:dyDescent="0.15">
      <c r="I3" s="12" t="s">
        <v>4</v>
      </c>
    </row>
    <row r="4" spans="1:9" x14ac:dyDescent="0.15">
      <c r="A4" s="9" t="s">
        <v>5</v>
      </c>
      <c r="B4" s="9" t="s">
        <v>6</v>
      </c>
      <c r="C4" s="9" t="s">
        <v>7</v>
      </c>
      <c r="D4" s="9" t="s">
        <v>8</v>
      </c>
      <c r="E4" s="9" t="s">
        <v>197</v>
      </c>
      <c r="F4" s="9" t="s">
        <v>198</v>
      </c>
      <c r="G4" s="9" t="s">
        <v>199</v>
      </c>
      <c r="H4" s="9" t="s">
        <v>200</v>
      </c>
      <c r="I4" s="9" t="s">
        <v>9</v>
      </c>
    </row>
    <row r="5" spans="1:9" x14ac:dyDescent="0.15">
      <c r="A5" s="9" t="s">
        <v>10</v>
      </c>
      <c r="B5" s="9" t="s">
        <v>21</v>
      </c>
      <c r="C5" s="9" t="s">
        <v>13</v>
      </c>
      <c r="D5" s="9" t="s">
        <v>12</v>
      </c>
      <c r="E5" s="18">
        <v>20000</v>
      </c>
      <c r="F5" s="18">
        <v>24000</v>
      </c>
      <c r="G5" s="18">
        <v>30000</v>
      </c>
      <c r="H5" s="18">
        <v>34600</v>
      </c>
      <c r="I5" s="18">
        <f t="shared" ref="I5:I17" si="0">(E5+F5+G5+H5)/4</f>
        <v>27150</v>
      </c>
    </row>
    <row r="6" spans="1:9" x14ac:dyDescent="0.15">
      <c r="A6" s="9" t="s">
        <v>25</v>
      </c>
      <c r="B6" s="9" t="s">
        <v>26</v>
      </c>
      <c r="C6" s="9" t="s">
        <v>15</v>
      </c>
      <c r="D6" s="9" t="s">
        <v>14</v>
      </c>
      <c r="E6" s="18">
        <v>16000</v>
      </c>
      <c r="F6" s="18">
        <v>18600</v>
      </c>
      <c r="G6" s="18">
        <v>20000</v>
      </c>
      <c r="H6" s="18">
        <v>24000</v>
      </c>
      <c r="I6" s="18">
        <f t="shared" si="0"/>
        <v>19650</v>
      </c>
    </row>
    <row r="7" spans="1:9" x14ac:dyDescent="0.15">
      <c r="A7" s="9" t="s">
        <v>27</v>
      </c>
      <c r="B7" s="9" t="s">
        <v>26</v>
      </c>
      <c r="C7" s="9" t="s">
        <v>15</v>
      </c>
      <c r="D7" s="9" t="s">
        <v>16</v>
      </c>
      <c r="E7" s="18">
        <v>12000</v>
      </c>
      <c r="F7" s="18">
        <v>16000</v>
      </c>
      <c r="G7" s="18">
        <v>19000</v>
      </c>
      <c r="H7" s="18">
        <v>18500</v>
      </c>
      <c r="I7" s="18">
        <f t="shared" si="0"/>
        <v>16375</v>
      </c>
    </row>
    <row r="8" spans="1:9" x14ac:dyDescent="0.15">
      <c r="A8" s="9" t="s">
        <v>28</v>
      </c>
      <c r="B8" s="9" t="s">
        <v>29</v>
      </c>
      <c r="C8" s="9" t="s">
        <v>11</v>
      </c>
      <c r="D8" s="9" t="s">
        <v>17</v>
      </c>
      <c r="E8" s="18">
        <v>18600</v>
      </c>
      <c r="F8" s="18">
        <v>23500</v>
      </c>
      <c r="G8" s="18">
        <v>26400</v>
      </c>
      <c r="H8" s="18">
        <v>28800</v>
      </c>
      <c r="I8" s="18">
        <f t="shared" si="0"/>
        <v>24325</v>
      </c>
    </row>
    <row r="9" spans="1:9" x14ac:dyDescent="0.15">
      <c r="A9" s="9" t="s">
        <v>22</v>
      </c>
      <c r="B9" s="9" t="s">
        <v>29</v>
      </c>
      <c r="C9" s="9" t="s">
        <v>11</v>
      </c>
      <c r="D9" s="9" t="s">
        <v>18</v>
      </c>
      <c r="E9" s="18">
        <v>21000</v>
      </c>
      <c r="F9" s="18">
        <v>30000</v>
      </c>
      <c r="G9" s="18">
        <v>32000</v>
      </c>
      <c r="H9" s="18">
        <v>41000</v>
      </c>
      <c r="I9" s="18">
        <f t="shared" si="0"/>
        <v>31000</v>
      </c>
    </row>
    <row r="10" spans="1:9" x14ac:dyDescent="0.15">
      <c r="A10" s="9" t="s">
        <v>30</v>
      </c>
      <c r="B10" s="9" t="s">
        <v>31</v>
      </c>
      <c r="C10" s="9" t="s">
        <v>11</v>
      </c>
      <c r="D10" s="9" t="s">
        <v>19</v>
      </c>
      <c r="E10" s="18">
        <v>35000</v>
      </c>
      <c r="F10" s="18">
        <v>42000</v>
      </c>
      <c r="G10" s="18">
        <v>56000</v>
      </c>
      <c r="H10" s="18">
        <v>66400</v>
      </c>
      <c r="I10" s="18">
        <f t="shared" si="0"/>
        <v>49850</v>
      </c>
    </row>
    <row r="11" spans="1:9" x14ac:dyDescent="0.15">
      <c r="A11" s="9" t="s">
        <v>32</v>
      </c>
      <c r="B11" s="9" t="s">
        <v>31</v>
      </c>
      <c r="C11" s="9" t="s">
        <v>11</v>
      </c>
      <c r="D11" s="9" t="s">
        <v>20</v>
      </c>
      <c r="E11" s="18">
        <v>0</v>
      </c>
      <c r="F11" s="18">
        <v>52000</v>
      </c>
      <c r="G11" s="18">
        <v>26000</v>
      </c>
      <c r="H11" s="18">
        <v>28400</v>
      </c>
      <c r="I11" s="18">
        <f t="shared" si="0"/>
        <v>26600</v>
      </c>
    </row>
    <row r="12" spans="1:9" x14ac:dyDescent="0.15">
      <c r="A12" s="9" t="s">
        <v>10</v>
      </c>
      <c r="B12" s="5" t="s">
        <v>21</v>
      </c>
      <c r="C12" s="9" t="s">
        <v>11</v>
      </c>
      <c r="D12" s="9" t="s">
        <v>33</v>
      </c>
      <c r="E12" s="18">
        <v>0</v>
      </c>
      <c r="F12" s="18">
        <v>24000</v>
      </c>
      <c r="G12" s="18">
        <v>26000</v>
      </c>
      <c r="H12" s="18">
        <v>34000</v>
      </c>
      <c r="I12" s="18">
        <f t="shared" si="0"/>
        <v>21000</v>
      </c>
    </row>
    <row r="13" spans="1:9" x14ac:dyDescent="0.15">
      <c r="A13" s="9" t="s">
        <v>25</v>
      </c>
      <c r="B13" s="9" t="s">
        <v>26</v>
      </c>
      <c r="C13" s="9" t="s">
        <v>15</v>
      </c>
      <c r="D13" s="9" t="s">
        <v>23</v>
      </c>
      <c r="E13" s="18">
        <v>12000</v>
      </c>
      <c r="F13" s="18">
        <v>16000</v>
      </c>
      <c r="G13" s="18">
        <v>19000</v>
      </c>
      <c r="H13" s="18">
        <v>18500</v>
      </c>
      <c r="I13" s="18">
        <f t="shared" si="0"/>
        <v>16375</v>
      </c>
    </row>
    <row r="14" spans="1:9" x14ac:dyDescent="0.15">
      <c r="A14" s="9" t="s">
        <v>28</v>
      </c>
      <c r="B14" s="9" t="s">
        <v>29</v>
      </c>
      <c r="C14" s="9" t="s">
        <v>11</v>
      </c>
      <c r="D14" s="9" t="s">
        <v>24</v>
      </c>
      <c r="E14" s="18">
        <v>23500</v>
      </c>
      <c r="F14" s="18">
        <v>32400</v>
      </c>
      <c r="G14" s="18">
        <v>26400</v>
      </c>
      <c r="H14" s="18">
        <v>23400</v>
      </c>
      <c r="I14" s="18">
        <f t="shared" si="0"/>
        <v>26425</v>
      </c>
    </row>
    <row r="15" spans="1:9" x14ac:dyDescent="0.15">
      <c r="A15" s="9" t="s">
        <v>22</v>
      </c>
      <c r="B15" s="9" t="s">
        <v>29</v>
      </c>
      <c r="C15" s="9" t="s">
        <v>11</v>
      </c>
      <c r="D15" s="9" t="s">
        <v>34</v>
      </c>
      <c r="E15" s="18">
        <v>32100</v>
      </c>
      <c r="F15" s="18">
        <v>21000</v>
      </c>
      <c r="G15" s="18">
        <v>32000</v>
      </c>
      <c r="H15" s="18">
        <v>32000</v>
      </c>
      <c r="I15" s="18">
        <f t="shared" si="0"/>
        <v>29275</v>
      </c>
    </row>
    <row r="16" spans="1:9" x14ac:dyDescent="0.15">
      <c r="A16" s="9" t="s">
        <v>30</v>
      </c>
      <c r="B16" s="9" t="s">
        <v>31</v>
      </c>
      <c r="C16" s="9" t="s">
        <v>11</v>
      </c>
      <c r="D16" s="9" t="s">
        <v>35</v>
      </c>
      <c r="E16" s="18">
        <v>43000</v>
      </c>
      <c r="F16" s="18">
        <v>45200</v>
      </c>
      <c r="G16" s="18">
        <v>32100</v>
      </c>
      <c r="H16" s="18">
        <v>25000</v>
      </c>
      <c r="I16" s="18">
        <f t="shared" si="0"/>
        <v>36325</v>
      </c>
    </row>
    <row r="17" spans="1:9" x14ac:dyDescent="0.15">
      <c r="A17" s="9" t="s">
        <v>32</v>
      </c>
      <c r="B17" s="9" t="s">
        <v>31</v>
      </c>
      <c r="C17" s="9" t="s">
        <v>13</v>
      </c>
      <c r="D17" s="9" t="s">
        <v>36</v>
      </c>
      <c r="E17" s="18">
        <v>0</v>
      </c>
      <c r="F17" s="18">
        <v>32600</v>
      </c>
      <c r="G17" s="18">
        <v>26000</v>
      </c>
      <c r="H17" s="18">
        <v>15000</v>
      </c>
      <c r="I17" s="18">
        <f t="shared" si="0"/>
        <v>18400</v>
      </c>
    </row>
  </sheetData>
  <mergeCells count="1">
    <mergeCell ref="A1:I1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2"/>
  <sheetViews>
    <sheetView workbookViewId="0"/>
  </sheetViews>
  <sheetFormatPr defaultRowHeight="13.5" x14ac:dyDescent="0.15"/>
  <cols>
    <col min="1" max="1" width="9.109375" style="28" customWidth="1"/>
    <col min="2" max="2" width="6.33203125" style="28" bestFit="1" customWidth="1"/>
    <col min="3" max="3" width="6.5546875" style="28" bestFit="1" customWidth="1"/>
    <col min="4" max="4" width="8.21875" style="28" bestFit="1" customWidth="1"/>
    <col min="5" max="5" width="6.6640625" style="28" bestFit="1" customWidth="1"/>
    <col min="6" max="6" width="6.5546875" style="28" bestFit="1" customWidth="1"/>
    <col min="7" max="7" width="6.44140625" style="28" customWidth="1"/>
    <col min="8" max="8" width="4.88671875" style="28" bestFit="1" customWidth="1"/>
    <col min="9" max="9" width="10.88671875" style="28" customWidth="1"/>
    <col min="10" max="16384" width="8.88671875" style="28"/>
  </cols>
  <sheetData>
    <row r="1" spans="1:8" s="7" customFormat="1" x14ac:dyDescent="0.15">
      <c r="A1" s="7" t="s">
        <v>207</v>
      </c>
    </row>
    <row r="2" spans="1:8" s="7" customFormat="1" x14ac:dyDescent="0.15">
      <c r="A2" s="28"/>
      <c r="B2" s="28"/>
      <c r="C2" s="28"/>
      <c r="D2" s="28"/>
      <c r="E2" s="28"/>
      <c r="F2" s="28"/>
      <c r="G2" s="28"/>
    </row>
    <row r="3" spans="1:8" s="7" customFormat="1" x14ac:dyDescent="0.15">
      <c r="A3" s="5" t="s">
        <v>48</v>
      </c>
      <c r="B3" s="5" t="s">
        <v>49</v>
      </c>
      <c r="C3" s="5" t="s">
        <v>50</v>
      </c>
      <c r="D3" s="5" t="s">
        <v>51</v>
      </c>
      <c r="E3" s="5" t="s">
        <v>52</v>
      </c>
      <c r="F3" s="5" t="s">
        <v>53</v>
      </c>
      <c r="G3" s="5" t="s">
        <v>54</v>
      </c>
    </row>
    <row r="4" spans="1:8" s="7" customFormat="1" x14ac:dyDescent="0.15">
      <c r="A4" s="5" t="s">
        <v>55</v>
      </c>
      <c r="B4" s="5" t="s">
        <v>56</v>
      </c>
      <c r="C4" s="29">
        <v>60</v>
      </c>
      <c r="D4" s="29">
        <v>29</v>
      </c>
      <c r="E4" s="29">
        <v>45</v>
      </c>
      <c r="F4" s="30">
        <v>5</v>
      </c>
      <c r="G4" s="29"/>
      <c r="H4" s="28"/>
    </row>
    <row r="5" spans="1:8" s="7" customFormat="1" x14ac:dyDescent="0.15">
      <c r="A5" s="5" t="s">
        <v>57</v>
      </c>
      <c r="B5" s="5" t="s">
        <v>58</v>
      </c>
      <c r="C5" s="29">
        <v>69</v>
      </c>
      <c r="D5" s="29">
        <v>30</v>
      </c>
      <c r="E5" s="29">
        <v>48</v>
      </c>
      <c r="F5" s="30">
        <v>1</v>
      </c>
      <c r="G5" s="29"/>
      <c r="H5" s="28"/>
    </row>
    <row r="6" spans="1:8" s="7" customFormat="1" x14ac:dyDescent="0.15">
      <c r="A6" s="5" t="s">
        <v>59</v>
      </c>
      <c r="B6" s="5" t="s">
        <v>60</v>
      </c>
      <c r="C6" s="29">
        <v>70</v>
      </c>
      <c r="D6" s="29">
        <v>28</v>
      </c>
      <c r="E6" s="29">
        <v>47</v>
      </c>
      <c r="F6" s="30">
        <v>2</v>
      </c>
      <c r="G6" s="29"/>
      <c r="H6" s="28"/>
    </row>
    <row r="7" spans="1:8" s="7" customFormat="1" x14ac:dyDescent="0.15">
      <c r="A7" s="5" t="s">
        <v>61</v>
      </c>
      <c r="B7" s="5" t="s">
        <v>56</v>
      </c>
      <c r="C7" s="29">
        <v>67</v>
      </c>
      <c r="D7" s="29">
        <v>25</v>
      </c>
      <c r="E7" s="29">
        <v>45</v>
      </c>
      <c r="F7" s="30">
        <v>4</v>
      </c>
      <c r="G7" s="29"/>
      <c r="H7" s="28"/>
    </row>
    <row r="8" spans="1:8" s="7" customFormat="1" x14ac:dyDescent="0.15">
      <c r="A8" s="5" t="s">
        <v>62</v>
      </c>
      <c r="B8" s="5" t="s">
        <v>60</v>
      </c>
      <c r="C8" s="29">
        <v>66</v>
      </c>
      <c r="D8" s="29">
        <v>20</v>
      </c>
      <c r="E8" s="29">
        <v>38</v>
      </c>
      <c r="F8" s="30">
        <v>0</v>
      </c>
      <c r="G8" s="29"/>
      <c r="H8" s="28"/>
    </row>
    <row r="9" spans="1:8" s="7" customFormat="1" x14ac:dyDescent="0.15">
      <c r="A9" s="5" t="s">
        <v>63</v>
      </c>
      <c r="B9" s="5" t="s">
        <v>64</v>
      </c>
      <c r="C9" s="29">
        <v>59</v>
      </c>
      <c r="D9" s="29">
        <v>25</v>
      </c>
      <c r="E9" s="29">
        <v>46</v>
      </c>
      <c r="F9" s="30">
        <v>5</v>
      </c>
      <c r="G9" s="29"/>
      <c r="H9" s="28"/>
    </row>
    <row r="10" spans="1:8" s="7" customFormat="1" x14ac:dyDescent="0.15">
      <c r="A10" s="5" t="s">
        <v>65</v>
      </c>
      <c r="B10" s="5" t="s">
        <v>66</v>
      </c>
      <c r="C10" s="29">
        <v>70</v>
      </c>
      <c r="D10" s="29">
        <v>27</v>
      </c>
      <c r="E10" s="29">
        <v>50</v>
      </c>
      <c r="F10" s="30">
        <v>7</v>
      </c>
      <c r="G10" s="29"/>
      <c r="H10" s="28"/>
    </row>
    <row r="11" spans="1:8" s="7" customFormat="1" x14ac:dyDescent="0.15">
      <c r="A11" s="5" t="s">
        <v>67</v>
      </c>
      <c r="B11" s="5" t="s">
        <v>66</v>
      </c>
      <c r="C11" s="29">
        <v>69</v>
      </c>
      <c r="D11" s="29">
        <v>19</v>
      </c>
      <c r="E11" s="29">
        <v>48</v>
      </c>
      <c r="F11" s="30">
        <v>0</v>
      </c>
      <c r="G11" s="29"/>
      <c r="H11" s="28"/>
    </row>
    <row r="12" spans="1:8" s="7" customFormat="1" x14ac:dyDescent="0.15">
      <c r="A12" s="28"/>
      <c r="B12" s="28"/>
      <c r="C12" s="28"/>
      <c r="D12" s="28"/>
      <c r="E12" s="28"/>
      <c r="F12" s="28"/>
      <c r="G12" s="28"/>
      <c r="H12" s="28"/>
    </row>
  </sheetData>
  <phoneticPr fontId="2" type="noConversion"/>
  <printOptions headings="1" gridLines="1"/>
  <pageMargins left="0.75" right="0.75" top="0.63" bottom="0.45" header="0.5" footer="0.12"/>
  <pageSetup paperSize="9" scale="77" orientation="landscape" r:id="rId1"/>
  <headerFooter alignWithMargins="0">
    <oddHeader>&amp;C&amp;F</oddHeader>
    <oddFooter>&amp;C&amp;F&amp;A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9"/>
  <sheetViews>
    <sheetView workbookViewId="0"/>
  </sheetViews>
  <sheetFormatPr defaultRowHeight="13.5" x14ac:dyDescent="0.15"/>
  <cols>
    <col min="1" max="1" width="9.109375" style="28" customWidth="1"/>
    <col min="2" max="2" width="6.33203125" style="28" bestFit="1" customWidth="1"/>
    <col min="3" max="3" width="6.5546875" style="28" bestFit="1" customWidth="1"/>
    <col min="4" max="4" width="8.21875" style="28" bestFit="1" customWidth="1"/>
    <col min="5" max="5" width="6.6640625" style="28" bestFit="1" customWidth="1"/>
    <col min="6" max="16384" width="8.88671875" style="28"/>
  </cols>
  <sheetData>
    <row r="1" spans="1:5" x14ac:dyDescent="0.15">
      <c r="A1" s="7" t="s">
        <v>206</v>
      </c>
      <c r="B1" s="7"/>
      <c r="C1" s="7"/>
      <c r="D1" s="7"/>
      <c r="E1" s="7"/>
    </row>
    <row r="2" spans="1:5" x14ac:dyDescent="0.15">
      <c r="A2" s="7"/>
      <c r="B2" s="7"/>
      <c r="C2" s="7"/>
      <c r="D2" s="7"/>
      <c r="E2" s="7"/>
    </row>
    <row r="3" spans="1:5" x14ac:dyDescent="0.15">
      <c r="A3" s="9" t="s">
        <v>201</v>
      </c>
      <c r="B3" s="9" t="s">
        <v>202</v>
      </c>
      <c r="C3" s="9" t="s">
        <v>203</v>
      </c>
      <c r="D3" s="9" t="s">
        <v>204</v>
      </c>
      <c r="E3" s="9" t="s">
        <v>205</v>
      </c>
    </row>
    <row r="4" spans="1:5" x14ac:dyDescent="0.15">
      <c r="A4" s="9" t="s">
        <v>208</v>
      </c>
      <c r="B4" s="18">
        <v>210</v>
      </c>
      <c r="C4" s="18">
        <v>300</v>
      </c>
      <c r="D4" s="18">
        <f t="shared" ref="D4:D9" si="0">C4-B4</f>
        <v>90</v>
      </c>
      <c r="E4" s="31">
        <f t="shared" ref="E4:E9" si="1">D4/C4</f>
        <v>0.3</v>
      </c>
    </row>
    <row r="5" spans="1:5" x14ac:dyDescent="0.15">
      <c r="A5" s="9" t="s">
        <v>209</v>
      </c>
      <c r="B5" s="18">
        <v>160</v>
      </c>
      <c r="C5" s="18">
        <v>220</v>
      </c>
      <c r="D5" s="18">
        <f t="shared" si="0"/>
        <v>60</v>
      </c>
      <c r="E5" s="31">
        <f t="shared" si="1"/>
        <v>0.27272727272727271</v>
      </c>
    </row>
    <row r="6" spans="1:5" x14ac:dyDescent="0.15">
      <c r="A6" s="9" t="s">
        <v>210</v>
      </c>
      <c r="B6" s="18">
        <v>440</v>
      </c>
      <c r="C6" s="18">
        <v>580</v>
      </c>
      <c r="D6" s="18">
        <f t="shared" si="0"/>
        <v>140</v>
      </c>
      <c r="E6" s="31">
        <f t="shared" si="1"/>
        <v>0.2413793103448276</v>
      </c>
    </row>
    <row r="7" spans="1:5" x14ac:dyDescent="0.15">
      <c r="A7" s="9" t="s">
        <v>211</v>
      </c>
      <c r="B7" s="18">
        <v>320</v>
      </c>
      <c r="C7" s="18">
        <v>420</v>
      </c>
      <c r="D7" s="18">
        <f t="shared" si="0"/>
        <v>100</v>
      </c>
      <c r="E7" s="31">
        <f t="shared" si="1"/>
        <v>0.23809523809523808</v>
      </c>
    </row>
    <row r="8" spans="1:5" x14ac:dyDescent="0.15">
      <c r="A8" s="9" t="s">
        <v>212</v>
      </c>
      <c r="B8" s="18">
        <v>230</v>
      </c>
      <c r="C8" s="18">
        <v>290</v>
      </c>
      <c r="D8" s="18">
        <f t="shared" si="0"/>
        <v>60</v>
      </c>
      <c r="E8" s="31">
        <f t="shared" si="1"/>
        <v>0.20689655172413793</v>
      </c>
    </row>
    <row r="9" spans="1:5" x14ac:dyDescent="0.15">
      <c r="A9" s="9" t="s">
        <v>213</v>
      </c>
      <c r="B9" s="18">
        <v>450</v>
      </c>
      <c r="C9" s="18">
        <v>540</v>
      </c>
      <c r="D9" s="18">
        <f t="shared" si="0"/>
        <v>90</v>
      </c>
      <c r="E9" s="31">
        <f t="shared" si="1"/>
        <v>0.16666666666666666</v>
      </c>
    </row>
  </sheetData>
  <phoneticPr fontId="2" type="noConversion"/>
  <printOptions headings="1" gridLines="1"/>
  <pageMargins left="0.75" right="0.75" top="0.63" bottom="0.45" header="0.5" footer="0.12"/>
  <pageSetup paperSize="9" scale="77" orientation="landscape" r:id="rId1"/>
  <headerFooter alignWithMargins="0">
    <oddHeader>&amp;C&amp;F</oddHeader>
    <oddFooter>&amp;C&amp;F&amp;A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총점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서식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</dc:creator>
  <cp:lastModifiedBy>ck</cp:lastModifiedBy>
  <cp:lastPrinted>2004-01-08T00:20:12Z</cp:lastPrinted>
  <dcterms:created xsi:type="dcterms:W3CDTF">2001-02-14T08:01:07Z</dcterms:created>
  <dcterms:modified xsi:type="dcterms:W3CDTF">2013-12-28T05:17:36Z</dcterms:modified>
</cp:coreProperties>
</file>