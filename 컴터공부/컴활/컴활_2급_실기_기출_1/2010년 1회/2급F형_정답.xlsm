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5" yWindow="-15" windowWidth="12825" windowHeight="4440" tabRatio="763" firstSheet="1" activeTab="1"/>
  </bookViews>
  <sheets>
    <sheet name="000000" sheetId="4" state="veryHidden" r:id="rId1"/>
    <sheet name="기본작업-1" sheetId="33" r:id="rId2"/>
    <sheet name="기본작업-2" sheetId="35" r:id="rId3"/>
    <sheet name="기본작업-3" sheetId="36" r:id="rId4"/>
    <sheet name="계산작업" sheetId="49" r:id="rId5"/>
    <sheet name="분석작업-1" sheetId="42" r:id="rId6"/>
    <sheet name="시나리오 요약" sheetId="52" r:id="rId7"/>
    <sheet name="분석작업-2" sheetId="44" r:id="rId8"/>
    <sheet name="매크로작업" sheetId="47" r:id="rId9"/>
    <sheet name="차트작업" sheetId="50" r:id="rId10"/>
  </sheets>
  <definedNames>
    <definedName name="대출현황" localSheetId="3">'기본작업-3'!$A$3:$E$16</definedName>
    <definedName name="순이익율">'분석작업-2'!$H$17</definedName>
    <definedName name="순이익합계">'분석작업-2'!$H$15</definedName>
    <definedName name="음료수" localSheetId="3">'기본작업-3'!#REF!</definedName>
    <definedName name="자동판매기" localSheetId="3">'기본작업-3'!$A$1:$I$1</definedName>
    <definedName name="학생이름">'기본작업-2'!$C$5:$C$16</definedName>
  </definedNames>
  <calcPr calcId="125725"/>
</workbook>
</file>

<file path=xl/calcChain.xml><?xml version="1.0" encoding="utf-8"?>
<calcChain xmlns="http://schemas.openxmlformats.org/spreadsheetml/2006/main">
  <c r="I17" i="49"/>
  <c r="I18"/>
  <c r="I19"/>
  <c r="I20"/>
  <c r="I21"/>
  <c r="I22"/>
  <c r="I23"/>
  <c r="I16"/>
  <c r="G5" i="47"/>
  <c r="G6"/>
  <c r="G7"/>
  <c r="G8"/>
  <c r="G9"/>
  <c r="G10"/>
  <c r="G11"/>
  <c r="G12"/>
  <c r="G4"/>
  <c r="H6" i="44"/>
  <c r="H7"/>
  <c r="H8"/>
  <c r="H9"/>
  <c r="H10"/>
  <c r="H11"/>
  <c r="H12"/>
  <c r="H13"/>
  <c r="H14"/>
  <c r="H15"/>
  <c r="H5"/>
  <c r="D36" i="49"/>
  <c r="D37"/>
  <c r="D38"/>
  <c r="D39"/>
  <c r="D40"/>
  <c r="D41"/>
  <c r="D42"/>
  <c r="D43"/>
  <c r="D44"/>
  <c r="D45"/>
  <c r="D46"/>
  <c r="D35"/>
  <c r="B30"/>
  <c r="I4"/>
  <c r="I5"/>
  <c r="I6"/>
  <c r="I7"/>
  <c r="I8"/>
  <c r="I9"/>
  <c r="I10"/>
  <c r="I11"/>
  <c r="I3"/>
  <c r="D4"/>
  <c r="D5"/>
  <c r="D6"/>
  <c r="D7"/>
  <c r="D3"/>
  <c r="F5" i="44" l="1"/>
  <c r="F6"/>
  <c r="F7"/>
  <c r="F8"/>
  <c r="F10"/>
  <c r="F9"/>
  <c r="F11"/>
  <c r="F12"/>
  <c r="F13"/>
  <c r="F14"/>
  <c r="G15"/>
  <c r="D15"/>
  <c r="E15"/>
  <c r="F15" s="1"/>
</calcChain>
</file>

<file path=xl/connections.xml><?xml version="1.0" encoding="utf-8"?>
<connections xmlns="http://schemas.openxmlformats.org/spreadsheetml/2006/main">
  <connection id="1" name="대출현황" type="6" refreshedVersion="0" deleted="1" background="1" saveData="1">
    <textPr sourceFile="C:\컴활실기 제4회 1차감수\엑셀 2급\2급소스\대출현황.txt" tab="0" comma="1">
      <textFields count="5">
        <textField/>
        <textField/>
        <textField/>
        <textField/>
        <textField/>
      </textFields>
    </textPr>
  </connection>
  <connection id="2" name="자동판매기" type="6" refreshedVersion="0" deleted="1" background="1" saveData="1">
    <textPr sourceFile="G:\공유컴활\출제재료\기본작업-2이후\2004년 사용함\자동판매기.txt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<sst xmlns="http://schemas.openxmlformats.org/spreadsheetml/2006/main" count="353" uniqueCount="287">
  <si>
    <t>판매량</t>
  </si>
  <si>
    <t>학생별 생활지도자료 현황표</t>
    <phoneticPr fontId="2" type="noConversion"/>
  </si>
  <si>
    <t>일련번호</t>
    <phoneticPr fontId="2" type="noConversion"/>
  </si>
  <si>
    <t>성명</t>
    <phoneticPr fontId="2" type="noConversion"/>
  </si>
  <si>
    <t>자격증 개수</t>
    <phoneticPr fontId="2" type="noConversion"/>
  </si>
  <si>
    <t>결석</t>
    <phoneticPr fontId="2" type="noConversion"/>
  </si>
  <si>
    <t>지각</t>
    <phoneticPr fontId="2" type="noConversion"/>
  </si>
  <si>
    <t>조퇴</t>
    <phoneticPr fontId="2" type="noConversion"/>
  </si>
  <si>
    <t>결과</t>
    <phoneticPr fontId="2" type="noConversion"/>
  </si>
  <si>
    <t>강현철</t>
    <phoneticPr fontId="2" type="noConversion"/>
  </si>
  <si>
    <t>지남식</t>
    <phoneticPr fontId="2" type="noConversion"/>
  </si>
  <si>
    <t>이현식</t>
    <phoneticPr fontId="2" type="noConversion"/>
  </si>
  <si>
    <t>강하나</t>
    <phoneticPr fontId="2" type="noConversion"/>
  </si>
  <si>
    <t>최창섭</t>
    <phoneticPr fontId="2" type="noConversion"/>
  </si>
  <si>
    <t>노영애</t>
    <phoneticPr fontId="2" type="noConversion"/>
  </si>
  <si>
    <t>이관우</t>
    <phoneticPr fontId="2" type="noConversion"/>
  </si>
  <si>
    <t>김상문</t>
    <phoneticPr fontId="2" type="noConversion"/>
  </si>
  <si>
    <t>문성원</t>
    <phoneticPr fontId="2" type="noConversion"/>
  </si>
  <si>
    <t>배공저</t>
    <phoneticPr fontId="2" type="noConversion"/>
  </si>
  <si>
    <t>강진찬</t>
    <phoneticPr fontId="2" type="noConversion"/>
  </si>
  <si>
    <t>조동일</t>
    <phoneticPr fontId="2" type="noConversion"/>
  </si>
  <si>
    <t>자퇴</t>
    <phoneticPr fontId="2" type="noConversion"/>
  </si>
  <si>
    <t>A1206</t>
  </si>
  <si>
    <t>A1207</t>
  </si>
  <si>
    <t>A1208</t>
  </si>
  <si>
    <t>A1209</t>
  </si>
  <si>
    <t>A1210</t>
  </si>
  <si>
    <t>A1211</t>
  </si>
  <si>
    <t>A1212</t>
  </si>
  <si>
    <t>A1213</t>
  </si>
  <si>
    <t>A1214</t>
  </si>
  <si>
    <t>A1215</t>
  </si>
  <si>
    <t>판매액</t>
  </si>
  <si>
    <t>상품명</t>
  </si>
  <si>
    <t>목표액</t>
  </si>
  <si>
    <t>합계</t>
  </si>
  <si>
    <t>순이익</t>
  </si>
  <si>
    <t>냉장고</t>
  </si>
  <si>
    <t>세탁기</t>
  </si>
  <si>
    <t>TV</t>
  </si>
  <si>
    <t>식기세척기</t>
  </si>
  <si>
    <t>김치냉장고</t>
  </si>
  <si>
    <t>소파</t>
  </si>
  <si>
    <t>침대</t>
  </si>
  <si>
    <t>혼수품목 매출 현황</t>
    <phoneticPr fontId="2" type="noConversion"/>
  </si>
  <si>
    <t>(단위:만원)</t>
    <phoneticPr fontId="2" type="noConversion"/>
  </si>
  <si>
    <t>전반기</t>
    <phoneticPr fontId="2" type="noConversion"/>
  </si>
  <si>
    <t>후반기</t>
    <phoneticPr fontId="2" type="noConversion"/>
  </si>
  <si>
    <t>가전류</t>
    <phoneticPr fontId="2" type="noConversion"/>
  </si>
  <si>
    <t>홈시어터</t>
    <phoneticPr fontId="2" type="noConversion"/>
  </si>
  <si>
    <t>가구류</t>
    <phoneticPr fontId="2" type="noConversion"/>
  </si>
  <si>
    <t>장롱</t>
    <phoneticPr fontId="2" type="noConversion"/>
  </si>
  <si>
    <t>식탁</t>
    <phoneticPr fontId="2" type="noConversion"/>
  </si>
  <si>
    <t>순이익율</t>
    <phoneticPr fontId="2" type="noConversion"/>
  </si>
  <si>
    <r>
      <t>[표</t>
    </r>
    <r>
      <rPr>
        <sz val="11"/>
        <rFont val="돋움"/>
        <family val="3"/>
        <charset val="129"/>
      </rPr>
      <t>1] 디지털카메라 판매현황</t>
    </r>
    <phoneticPr fontId="2" type="noConversion"/>
  </si>
  <si>
    <r>
      <t xml:space="preserve">(단위 </t>
    </r>
    <r>
      <rPr>
        <sz val="11"/>
        <rFont val="돋움"/>
        <family val="3"/>
        <charset val="129"/>
      </rPr>
      <t>: 천원)</t>
    </r>
    <phoneticPr fontId="2" type="noConversion"/>
  </si>
  <si>
    <r>
      <t>[표</t>
    </r>
    <r>
      <rPr>
        <sz val="11"/>
        <rFont val="돋움"/>
        <family val="3"/>
        <charset val="129"/>
      </rPr>
      <t>2</t>
    </r>
    <r>
      <rPr>
        <sz val="11"/>
        <rFont val="돋움"/>
        <family val="3"/>
        <charset val="129"/>
      </rPr>
      <t>]</t>
    </r>
    <r>
      <rPr>
        <sz val="11"/>
        <rFont val="돋움"/>
        <family val="3"/>
        <charset val="129"/>
      </rPr>
      <t xml:space="preserve"> 해외 테마 연수 여행자 명단</t>
    </r>
    <phoneticPr fontId="2" type="noConversion"/>
  </si>
  <si>
    <t>모델명</t>
    <phoneticPr fontId="2" type="noConversion"/>
  </si>
  <si>
    <t>분류</t>
    <phoneticPr fontId="2" type="noConversion"/>
  </si>
  <si>
    <t>매출액</t>
    <phoneticPr fontId="2" type="noConversion"/>
  </si>
  <si>
    <t>성명</t>
    <phoneticPr fontId="2" type="noConversion"/>
  </si>
  <si>
    <t>여행권역</t>
    <phoneticPr fontId="2" type="noConversion"/>
  </si>
  <si>
    <t>출발일자</t>
    <phoneticPr fontId="2" type="noConversion"/>
  </si>
  <si>
    <t>출발요일</t>
    <phoneticPr fontId="2" type="noConversion"/>
  </si>
  <si>
    <r>
      <t>D</t>
    </r>
    <r>
      <rPr>
        <sz val="11"/>
        <rFont val="돋움"/>
        <family val="3"/>
        <charset val="129"/>
      </rPr>
      <t>C-01FHA</t>
    </r>
    <phoneticPr fontId="2" type="noConversion"/>
  </si>
  <si>
    <t>수출용</t>
    <phoneticPr fontId="2" type="noConversion"/>
  </si>
  <si>
    <t>김현숙</t>
    <phoneticPr fontId="2" type="noConversion"/>
  </si>
  <si>
    <t>중부유럽</t>
    <phoneticPr fontId="2" type="noConversion"/>
  </si>
  <si>
    <t>MP-01FHA</t>
    <phoneticPr fontId="2" type="noConversion"/>
  </si>
  <si>
    <t>내수용</t>
    <phoneticPr fontId="2" type="noConversion"/>
  </si>
  <si>
    <t>장현숙</t>
    <phoneticPr fontId="2" type="noConversion"/>
  </si>
  <si>
    <t>남부유럽</t>
    <phoneticPr fontId="2" type="noConversion"/>
  </si>
  <si>
    <t>DC-01FHB</t>
    <phoneticPr fontId="2" type="noConversion"/>
  </si>
  <si>
    <t>오남섭</t>
    <phoneticPr fontId="2" type="noConversion"/>
  </si>
  <si>
    <t>DC-01FHC</t>
    <phoneticPr fontId="2" type="noConversion"/>
  </si>
  <si>
    <t>신영숙</t>
    <phoneticPr fontId="2" type="noConversion"/>
  </si>
  <si>
    <t>MP-01FHB</t>
    <phoneticPr fontId="2" type="noConversion"/>
  </si>
  <si>
    <t>조현재</t>
    <phoneticPr fontId="2" type="noConversion"/>
  </si>
  <si>
    <t>미국, 캐나다</t>
    <phoneticPr fontId="2" type="noConversion"/>
  </si>
  <si>
    <t>권근창</t>
    <phoneticPr fontId="2" type="noConversion"/>
  </si>
  <si>
    <t>호주, 뉴질랜드</t>
    <phoneticPr fontId="2" type="noConversion"/>
  </si>
  <si>
    <t>두여랑</t>
    <phoneticPr fontId="2" type="noConversion"/>
  </si>
  <si>
    <t>모델명 3자리</t>
    <phoneticPr fontId="2" type="noConversion"/>
  </si>
  <si>
    <t>FHA</t>
    <phoneticPr fontId="2" type="noConversion"/>
  </si>
  <si>
    <r>
      <t>F</t>
    </r>
    <r>
      <rPr>
        <sz val="11"/>
        <rFont val="돋움"/>
        <family val="3"/>
        <charset val="129"/>
      </rPr>
      <t>HB</t>
    </r>
    <phoneticPr fontId="2" type="noConversion"/>
  </si>
  <si>
    <r>
      <t>F</t>
    </r>
    <r>
      <rPr>
        <sz val="11"/>
        <rFont val="돋움"/>
        <family val="3"/>
        <charset val="129"/>
      </rPr>
      <t>HC</t>
    </r>
    <phoneticPr fontId="2" type="noConversion"/>
  </si>
  <si>
    <t>문상화</t>
    <phoneticPr fontId="2" type="noConversion"/>
  </si>
  <si>
    <t>북부유럽</t>
    <phoneticPr fontId="2" type="noConversion"/>
  </si>
  <si>
    <t>판매단가</t>
    <phoneticPr fontId="2" type="noConversion"/>
  </si>
  <si>
    <t>고영수</t>
    <phoneticPr fontId="2" type="noConversion"/>
  </si>
  <si>
    <t>사원번호</t>
    <phoneticPr fontId="2" type="noConversion"/>
  </si>
  <si>
    <t>희망부서</t>
    <phoneticPr fontId="2" type="noConversion"/>
  </si>
  <si>
    <t>입사시험 성적</t>
    <phoneticPr fontId="2" type="noConversion"/>
  </si>
  <si>
    <t>나라</t>
    <phoneticPr fontId="2" type="noConversion"/>
  </si>
  <si>
    <t>수도</t>
    <phoneticPr fontId="2" type="noConversion"/>
  </si>
  <si>
    <t>강수량(mm)</t>
    <phoneticPr fontId="2" type="noConversion"/>
  </si>
  <si>
    <t>지역</t>
    <phoneticPr fontId="2" type="noConversion"/>
  </si>
  <si>
    <t>A1204</t>
    <phoneticPr fontId="2" type="noConversion"/>
  </si>
  <si>
    <t>영업부</t>
    <phoneticPr fontId="2" type="noConversion"/>
  </si>
  <si>
    <t>Portugal</t>
    <phoneticPr fontId="2" type="noConversion"/>
  </si>
  <si>
    <t>lisbon</t>
    <phoneticPr fontId="2" type="noConversion"/>
  </si>
  <si>
    <t>A1205</t>
    <phoneticPr fontId="2" type="noConversion"/>
  </si>
  <si>
    <t>총무부</t>
    <phoneticPr fontId="2" type="noConversion"/>
  </si>
  <si>
    <t>Spain</t>
    <phoneticPr fontId="2" type="noConversion"/>
  </si>
  <si>
    <t>madrid</t>
    <phoneticPr fontId="2" type="noConversion"/>
  </si>
  <si>
    <t>기획부</t>
    <phoneticPr fontId="2" type="noConversion"/>
  </si>
  <si>
    <t>France</t>
    <phoneticPr fontId="2" type="noConversion"/>
  </si>
  <si>
    <t>paris</t>
    <phoneticPr fontId="2" type="noConversion"/>
  </si>
  <si>
    <t>England</t>
    <phoneticPr fontId="2" type="noConversion"/>
  </si>
  <si>
    <t>london</t>
    <phoneticPr fontId="2" type="noConversion"/>
  </si>
  <si>
    <t>Sweden</t>
    <phoneticPr fontId="2" type="noConversion"/>
  </si>
  <si>
    <t>stockholm</t>
    <phoneticPr fontId="2" type="noConversion"/>
  </si>
  <si>
    <t>Germany</t>
    <phoneticPr fontId="2" type="noConversion"/>
  </si>
  <si>
    <t>berlin</t>
    <phoneticPr fontId="2" type="noConversion"/>
  </si>
  <si>
    <t>Netherland</t>
    <phoneticPr fontId="2" type="noConversion"/>
  </si>
  <si>
    <t>amsterdam</t>
    <phoneticPr fontId="2" type="noConversion"/>
  </si>
  <si>
    <t>Switzerland</t>
    <phoneticPr fontId="2" type="noConversion"/>
  </si>
  <si>
    <t>bern</t>
    <phoneticPr fontId="2" type="noConversion"/>
  </si>
  <si>
    <t>인원수</t>
    <phoneticPr fontId="2" type="noConversion"/>
  </si>
  <si>
    <t>채용지점</t>
    <phoneticPr fontId="2" type="noConversion"/>
  </si>
  <si>
    <t>생년월일</t>
    <phoneticPr fontId="2" type="noConversion"/>
  </si>
  <si>
    <t>채용여부</t>
    <phoneticPr fontId="2" type="noConversion"/>
  </si>
  <si>
    <t>천연희</t>
    <phoneticPr fontId="2" type="noConversion"/>
  </si>
  <si>
    <t>마포</t>
    <phoneticPr fontId="2" type="noConversion"/>
  </si>
  <si>
    <t>방한성</t>
    <phoneticPr fontId="2" type="noConversion"/>
  </si>
  <si>
    <t>동대문</t>
    <phoneticPr fontId="2" type="noConversion"/>
  </si>
  <si>
    <t>류철희</t>
    <phoneticPr fontId="2" type="noConversion"/>
  </si>
  <si>
    <t>상계</t>
    <phoneticPr fontId="2" type="noConversion"/>
  </si>
  <si>
    <t>최혜정</t>
    <phoneticPr fontId="2" type="noConversion"/>
  </si>
  <si>
    <t>김재하</t>
    <phoneticPr fontId="2" type="noConversion"/>
  </si>
  <si>
    <t>허마일</t>
    <phoneticPr fontId="2" type="noConversion"/>
  </si>
  <si>
    <t>문이수</t>
    <phoneticPr fontId="2" type="noConversion"/>
  </si>
  <si>
    <t>고정호</t>
    <phoneticPr fontId="2" type="noConversion"/>
  </si>
  <si>
    <t>마장도</t>
    <phoneticPr fontId="2" type="noConversion"/>
  </si>
  <si>
    <t>박상도</t>
    <phoneticPr fontId="2" type="noConversion"/>
  </si>
  <si>
    <t>역삼</t>
    <phoneticPr fontId="2" type="noConversion"/>
  </si>
  <si>
    <t>이문주</t>
    <phoneticPr fontId="2" type="noConversion"/>
  </si>
  <si>
    <t>강희연</t>
    <phoneticPr fontId="2" type="noConversion"/>
  </si>
  <si>
    <t>기준일</t>
    <phoneticPr fontId="2" type="noConversion"/>
  </si>
  <si>
    <r>
      <t>판매단가표</t>
    </r>
    <r>
      <rPr>
        <sz val="11"/>
        <rFont val="돋움"/>
        <family val="3"/>
        <charset val="129"/>
      </rPr>
      <t xml:space="preserve">  (단위 : 천원)</t>
    </r>
    <phoneticPr fontId="2" type="noConversion"/>
  </si>
  <si>
    <t>[표5] 아르바이트 모집 채용 결정(미성년자 여부 확인)</t>
    <phoneticPr fontId="2" type="noConversion"/>
  </si>
  <si>
    <t>고객명</t>
  </si>
  <si>
    <t>대출상품</t>
  </si>
  <si>
    <t>대출금액</t>
  </si>
  <si>
    <t>대출기간</t>
  </si>
  <si>
    <t>대출일</t>
  </si>
  <si>
    <t>김민우</t>
  </si>
  <si>
    <t>일반대출</t>
  </si>
  <si>
    <t>박아지</t>
  </si>
  <si>
    <t>결혼자금</t>
  </si>
  <si>
    <t>임철근</t>
  </si>
  <si>
    <t>자유대출</t>
  </si>
  <si>
    <t>왕상규</t>
  </si>
  <si>
    <t>출산</t>
  </si>
  <si>
    <t>양미리</t>
  </si>
  <si>
    <t>천도연</t>
  </si>
  <si>
    <t>유정철</t>
  </si>
  <si>
    <t>노저일</t>
  </si>
  <si>
    <t>나지만</t>
  </si>
  <si>
    <t>우태산</t>
  </si>
  <si>
    <t>태현일</t>
  </si>
  <si>
    <t>도지은</t>
  </si>
  <si>
    <t>만다라</t>
  </si>
  <si>
    <r>
      <t>[표</t>
    </r>
    <r>
      <rPr>
        <sz val="11"/>
        <rFont val="돋움"/>
        <family val="3"/>
        <charset val="129"/>
      </rPr>
      <t>4] 유럽 8개국 연평균 강수량</t>
    </r>
    <phoneticPr fontId="2" type="noConversion"/>
  </si>
  <si>
    <t>고객별 대출현황</t>
    <phoneticPr fontId="2" type="noConversion"/>
  </si>
  <si>
    <t>학자금A형</t>
    <phoneticPr fontId="2" type="noConversion"/>
  </si>
  <si>
    <t>학자금B형</t>
    <phoneticPr fontId="2" type="noConversion"/>
  </si>
  <si>
    <t>학자금A형</t>
    <phoneticPr fontId="2" type="noConversion"/>
  </si>
  <si>
    <t>[표1] 서울지역 판매내역</t>
    <phoneticPr fontId="2" type="noConversion"/>
  </si>
  <si>
    <t>제품명</t>
    <phoneticPr fontId="2" type="noConversion"/>
  </si>
  <si>
    <t>DVD</t>
    <phoneticPr fontId="2" type="noConversion"/>
  </si>
  <si>
    <t>스캐너</t>
    <phoneticPr fontId="2" type="noConversion"/>
  </si>
  <si>
    <t>프린터</t>
    <phoneticPr fontId="2" type="noConversion"/>
  </si>
  <si>
    <t>데스크탑</t>
    <phoneticPr fontId="2" type="noConversion"/>
  </si>
  <si>
    <t>노트북</t>
    <phoneticPr fontId="2" type="noConversion"/>
  </si>
  <si>
    <t>[표2] 경기지역 판매내역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</si>
  <si>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</si>
  <si>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</si>
  <si>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</si>
  <si>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지역별 1/4분기 제품별 판매현황</t>
    <phoneticPr fontId="2" type="noConversion"/>
  </si>
  <si>
    <t>넷북</t>
    <phoneticPr fontId="2" type="noConversion"/>
  </si>
  <si>
    <t>[표3] 부산지역 판매내역</t>
    <phoneticPr fontId="2" type="noConversion"/>
  </si>
  <si>
    <t>넷북</t>
    <phoneticPr fontId="2" type="noConversion"/>
  </si>
  <si>
    <t>외장하드</t>
    <phoneticPr fontId="2" type="noConversion"/>
  </si>
  <si>
    <t>[표4] 전국 판매내역</t>
    <phoneticPr fontId="2" type="noConversion"/>
  </si>
  <si>
    <t>세대주</t>
    <phoneticPr fontId="2" type="noConversion"/>
  </si>
  <si>
    <t>주거형태</t>
    <phoneticPr fontId="2" type="noConversion"/>
  </si>
  <si>
    <t>가족수</t>
    <phoneticPr fontId="2" type="noConversion"/>
  </si>
  <si>
    <t>월소득</t>
    <phoneticPr fontId="2" type="noConversion"/>
  </si>
  <si>
    <t>피복비</t>
    <phoneticPr fontId="2" type="noConversion"/>
  </si>
  <si>
    <t>식비</t>
    <phoneticPr fontId="2" type="noConversion"/>
  </si>
  <si>
    <t>문화생활비</t>
    <phoneticPr fontId="2" type="noConversion"/>
  </si>
  <si>
    <t>이선미</t>
    <phoneticPr fontId="2" type="noConversion"/>
  </si>
  <si>
    <t>아파트</t>
    <phoneticPr fontId="2" type="noConversion"/>
  </si>
  <si>
    <t>김성환</t>
    <phoneticPr fontId="2" type="noConversion"/>
  </si>
  <si>
    <t>단독주택</t>
    <phoneticPr fontId="2" type="noConversion"/>
  </si>
  <si>
    <t>변아영</t>
    <phoneticPr fontId="2" type="noConversion"/>
  </si>
  <si>
    <t>송재호</t>
    <phoneticPr fontId="2" type="noConversion"/>
  </si>
  <si>
    <t>박성수</t>
    <phoneticPr fontId="2" type="noConversion"/>
  </si>
  <si>
    <t>진성미</t>
    <phoneticPr fontId="2" type="noConversion"/>
  </si>
  <si>
    <t>최성국</t>
    <phoneticPr fontId="2" type="noConversion"/>
  </si>
  <si>
    <t>주거형태별 소비지출 내역</t>
    <phoneticPr fontId="2" type="noConversion"/>
  </si>
  <si>
    <t>[표1] 스포츠센타별 수입현황</t>
    <phoneticPr fontId="2" type="noConversion"/>
  </si>
  <si>
    <t>금호스포츠</t>
    <phoneticPr fontId="2" type="noConversion"/>
  </si>
  <si>
    <t>930-6624</t>
    <phoneticPr fontId="2" type="noConversion"/>
  </si>
  <si>
    <t>미도파스포츠</t>
    <phoneticPr fontId="2" type="noConversion"/>
  </si>
  <si>
    <t>778-0012</t>
    <phoneticPr fontId="2" type="noConversion"/>
  </si>
  <si>
    <t>노원체육관</t>
    <phoneticPr fontId="2" type="noConversion"/>
  </si>
  <si>
    <t>962-0909</t>
    <phoneticPr fontId="2" type="noConversion"/>
  </si>
  <si>
    <t>청소년수련관</t>
    <phoneticPr fontId="2" type="noConversion"/>
  </si>
  <si>
    <t>465-0987</t>
    <phoneticPr fontId="2" type="noConversion"/>
  </si>
  <si>
    <t>서울스포츠</t>
    <phoneticPr fontId="2" type="noConversion"/>
  </si>
  <si>
    <t>367-1123</t>
    <phoneticPr fontId="2" type="noConversion"/>
  </si>
  <si>
    <t>경동체육관</t>
    <phoneticPr fontId="2" type="noConversion"/>
  </si>
  <si>
    <t>456-0123</t>
    <phoneticPr fontId="2" type="noConversion"/>
  </si>
  <si>
    <t>성동스포츠</t>
    <phoneticPr fontId="2" type="noConversion"/>
  </si>
  <si>
    <t>2299-0972</t>
    <phoneticPr fontId="2" type="noConversion"/>
  </si>
  <si>
    <t>백미나스포츠</t>
    <phoneticPr fontId="2" type="noConversion"/>
  </si>
  <si>
    <t>567-5890</t>
    <phoneticPr fontId="2" type="noConversion"/>
  </si>
  <si>
    <t>미성체육관</t>
    <phoneticPr fontId="2" type="noConversion"/>
  </si>
  <si>
    <t>943-0705</t>
    <phoneticPr fontId="2" type="noConversion"/>
  </si>
  <si>
    <t>중소기업임금 현황</t>
    <phoneticPr fontId="2" type="noConversion"/>
  </si>
  <si>
    <t>2010년 6월 현재</t>
    <phoneticPr fontId="2" type="noConversion"/>
  </si>
  <si>
    <t>회사명</t>
    <phoneticPr fontId="2" type="noConversion"/>
  </si>
  <si>
    <t>업종</t>
    <phoneticPr fontId="2" type="noConversion"/>
  </si>
  <si>
    <t>창업연도</t>
    <phoneticPr fontId="2" type="noConversion"/>
  </si>
  <si>
    <t>사원수</t>
    <phoneticPr fontId="2" type="noConversion"/>
  </si>
  <si>
    <t>평균월급여</t>
    <phoneticPr fontId="2" type="noConversion"/>
  </si>
  <si>
    <t>평균근무시간</t>
    <phoneticPr fontId="2" type="noConversion"/>
  </si>
  <si>
    <t>㈜미림정밀</t>
    <phoneticPr fontId="2" type="noConversion"/>
  </si>
  <si>
    <t>기계(MACHINE)</t>
    <phoneticPr fontId="2" type="noConversion"/>
  </si>
  <si>
    <t>1985년</t>
    <phoneticPr fontId="2" type="noConversion"/>
  </si>
  <si>
    <t>40명</t>
    <phoneticPr fontId="2" type="noConversion"/>
  </si>
  <si>
    <t>12년</t>
    <phoneticPr fontId="2" type="noConversion"/>
  </si>
  <si>
    <t>세화공업</t>
    <phoneticPr fontId="2" type="noConversion"/>
  </si>
  <si>
    <t>금속(METAL)</t>
    <phoneticPr fontId="2" type="noConversion"/>
  </si>
  <si>
    <t>1977년</t>
    <phoneticPr fontId="2" type="noConversion"/>
  </si>
  <si>
    <t>35명</t>
    <phoneticPr fontId="2" type="noConversion"/>
  </si>
  <si>
    <t>17년</t>
    <phoneticPr fontId="2" type="noConversion"/>
  </si>
  <si>
    <t>보라매유통</t>
    <phoneticPr fontId="2" type="noConversion"/>
  </si>
  <si>
    <t>유통(DISTRIBUTION)</t>
    <phoneticPr fontId="2" type="noConversion"/>
  </si>
  <si>
    <t>1989년</t>
    <phoneticPr fontId="2" type="noConversion"/>
  </si>
  <si>
    <t>50명</t>
    <phoneticPr fontId="2" type="noConversion"/>
  </si>
  <si>
    <t>8년</t>
    <phoneticPr fontId="2" type="noConversion"/>
  </si>
  <si>
    <t>일신상사</t>
    <phoneticPr fontId="2" type="noConversion"/>
  </si>
  <si>
    <t>유통(DISTRIBUTION)</t>
    <phoneticPr fontId="2" type="noConversion"/>
  </si>
  <si>
    <t>2000년</t>
    <phoneticPr fontId="2" type="noConversion"/>
  </si>
  <si>
    <t>25명</t>
    <phoneticPr fontId="2" type="noConversion"/>
  </si>
  <si>
    <t>2년</t>
    <phoneticPr fontId="2" type="noConversion"/>
  </si>
  <si>
    <t>나라금속</t>
    <phoneticPr fontId="2" type="noConversion"/>
  </si>
  <si>
    <t>금속(METAL)</t>
    <phoneticPr fontId="2" type="noConversion"/>
  </si>
  <si>
    <t>1990년</t>
    <phoneticPr fontId="2" type="noConversion"/>
  </si>
  <si>
    <t>52명</t>
    <phoneticPr fontId="2" type="noConversion"/>
  </si>
  <si>
    <t>6년</t>
    <phoneticPr fontId="2" type="noConversion"/>
  </si>
  <si>
    <t>영화섬유㈜</t>
    <phoneticPr fontId="2" type="noConversion"/>
  </si>
  <si>
    <t>섬유(TEXTILE)</t>
    <phoneticPr fontId="2" type="noConversion"/>
  </si>
  <si>
    <t>1983년</t>
    <phoneticPr fontId="2" type="noConversion"/>
  </si>
  <si>
    <t>30명</t>
    <phoneticPr fontId="2" type="noConversion"/>
  </si>
  <si>
    <t>11년</t>
    <phoneticPr fontId="2" type="noConversion"/>
  </si>
  <si>
    <t>성일기계</t>
    <phoneticPr fontId="2" type="noConversion"/>
  </si>
  <si>
    <t>기계(MACHINE)</t>
    <phoneticPr fontId="2" type="noConversion"/>
  </si>
  <si>
    <t>2001년</t>
    <phoneticPr fontId="2" type="noConversion"/>
  </si>
  <si>
    <t>45명</t>
    <phoneticPr fontId="2" type="noConversion"/>
  </si>
  <si>
    <t>1년</t>
    <phoneticPr fontId="2" type="noConversion"/>
  </si>
  <si>
    <t>출결사항</t>
    <phoneticPr fontId="2" type="noConversion"/>
  </si>
  <si>
    <t>1학년</t>
    <phoneticPr fontId="2" type="noConversion"/>
  </si>
  <si>
    <t>2학년</t>
    <phoneticPr fontId="2" type="noConversion"/>
  </si>
  <si>
    <t>순이익합계</t>
  </si>
  <si>
    <t>순이익 인상</t>
  </si>
  <si>
    <t>만든 사람 김종일 날짜 2010-07-06</t>
  </si>
  <si>
    <t>순이익 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</si>
  <si>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</si>
  <si>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</si>
  <si>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</si>
  <si>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</si>
  <si>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</si>
  <si>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</si>
  <si>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</si>
  <si>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순이익율</t>
  </si>
  <si>
    <t>스포츠센타</t>
    <phoneticPr fontId="2" type="noConversion"/>
  </si>
  <si>
    <t>전화번호</t>
    <phoneticPr fontId="2" type="noConversion"/>
  </si>
  <si>
    <t>수강인원</t>
    <phoneticPr fontId="2" type="noConversion"/>
  </si>
  <si>
    <t>헬스</t>
    <phoneticPr fontId="2" type="noConversion"/>
  </si>
  <si>
    <t>수영</t>
    <phoneticPr fontId="2" type="noConversion"/>
  </si>
  <si>
    <t>에어로빅</t>
    <phoneticPr fontId="2" type="noConversion"/>
  </si>
  <si>
    <t>총수입액</t>
    <phoneticPr fontId="2" type="noConversion"/>
  </si>
  <si>
    <r>
      <t>[표</t>
    </r>
    <r>
      <rPr>
        <sz val="11"/>
        <rFont val="돋움"/>
        <family val="3"/>
        <charset val="129"/>
      </rPr>
      <t>3] 2010 신입 사원 현황</t>
    </r>
    <phoneticPr fontId="2" type="noConversion"/>
  </si>
</sst>
</file>

<file path=xl/styles.xml><?xml version="1.0" encoding="utf-8"?>
<styleSheet xmlns="http://schemas.openxmlformats.org/spreadsheetml/2006/main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00"/>
  </numFmts>
  <fonts count="12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4"/>
      <name val="돋움"/>
      <family val="3"/>
      <charset val="129"/>
    </font>
    <font>
      <b/>
      <u/>
      <sz val="14"/>
      <name val="돋움"/>
      <family val="3"/>
      <charset val="129"/>
    </font>
    <font>
      <b/>
      <i/>
      <u/>
      <sz val="18"/>
      <name val="바탕체"/>
      <family val="1"/>
      <charset val="129"/>
    </font>
    <font>
      <b/>
      <sz val="11"/>
      <color rgb="FFFF0000"/>
      <name val="돋움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1"/>
      <color indexed="1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center"/>
    </xf>
    <xf numFmtId="41" fontId="1" fillId="0" borderId="1" xfId="1" applyBorder="1"/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9" fontId="0" fillId="0" borderId="1" xfId="0" applyNumberFormat="1" applyBorder="1"/>
    <xf numFmtId="42" fontId="0" fillId="0" borderId="1" xfId="2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Fill="1"/>
    <xf numFmtId="176" fontId="1" fillId="0" borderId="1" xfId="0" applyNumberFormat="1" applyFont="1" applyFill="1" applyBorder="1" applyAlignment="1">
      <alignment horizontal="center"/>
    </xf>
    <xf numFmtId="41" fontId="1" fillId="0" borderId="1" xfId="1" applyFont="1" applyFill="1" applyBorder="1" applyAlignment="1">
      <alignment horizontal="right"/>
    </xf>
    <xf numFmtId="41" fontId="1" fillId="0" borderId="1" xfId="1" applyFont="1" applyBorder="1"/>
    <xf numFmtId="41" fontId="1" fillId="0" borderId="1" xfId="1" applyFont="1" applyBorder="1" applyAlignment="1">
      <alignment horizontal="center"/>
    </xf>
    <xf numFmtId="0" fontId="1" fillId="0" borderId="0" xfId="0" applyFont="1" applyAlignment="1"/>
    <xf numFmtId="0" fontId="1" fillId="0" borderId="1" xfId="0" applyNumberFormat="1" applyFont="1" applyBorder="1" applyAlignment="1">
      <alignment horizontal="center"/>
    </xf>
    <xf numFmtId="41" fontId="1" fillId="0" borderId="1" xfId="1" applyFont="1" applyBorder="1" applyAlignment="1"/>
    <xf numFmtId="41" fontId="1" fillId="0" borderId="0" xfId="1" applyFont="1" applyBorder="1"/>
    <xf numFmtId="41" fontId="1" fillId="0" borderId="0" xfId="1" applyFont="1" applyBorder="1" applyAlignme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/>
    <xf numFmtId="41" fontId="0" fillId="0" borderId="1" xfId="1" applyFont="1" applyBorder="1"/>
    <xf numFmtId="14" fontId="0" fillId="0" borderId="1" xfId="2" applyNumberFormat="1" applyFont="1" applyBorder="1"/>
    <xf numFmtId="42" fontId="0" fillId="0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177" fontId="0" fillId="0" borderId="1" xfId="0" applyNumberFormat="1" applyBorder="1"/>
    <xf numFmtId="177" fontId="0" fillId="0" borderId="1" xfId="0" applyNumberFormat="1" applyBorder="1" applyAlignment="1">
      <alignment horizontal="center"/>
    </xf>
    <xf numFmtId="177" fontId="0" fillId="0" borderId="4" xfId="0" applyNumberFormat="1" applyBorder="1"/>
    <xf numFmtId="0" fontId="0" fillId="0" borderId="4" xfId="0" applyBorder="1"/>
    <xf numFmtId="0" fontId="0" fillId="0" borderId="0" xfId="0" applyFill="1" applyBorder="1" applyAlignment="1"/>
    <xf numFmtId="9" fontId="0" fillId="0" borderId="0" xfId="0" applyNumberFormat="1" applyFill="1" applyBorder="1" applyAlignment="1"/>
    <xf numFmtId="41" fontId="0" fillId="0" borderId="6" xfId="0" applyNumberFormat="1" applyFill="1" applyBorder="1" applyAlignment="1"/>
    <xf numFmtId="0" fontId="7" fillId="4" borderId="7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0" fillId="0" borderId="8" xfId="0" applyFill="1" applyBorder="1" applyAlignment="1"/>
    <xf numFmtId="0" fontId="8" fillId="5" borderId="0" xfId="0" applyFont="1" applyFill="1" applyBorder="1" applyAlignment="1">
      <alignment horizontal="left"/>
    </xf>
    <xf numFmtId="0" fontId="9" fillId="5" borderId="8" xfId="0" applyFont="1" applyFill="1" applyBorder="1" applyAlignment="1">
      <alignment horizontal="left"/>
    </xf>
    <xf numFmtId="0" fontId="8" fillId="5" borderId="6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right"/>
    </xf>
    <xf numFmtId="0" fontId="7" fillId="4" borderId="7" xfId="0" applyFont="1" applyFill="1" applyBorder="1" applyAlignment="1">
      <alignment horizontal="right"/>
    </xf>
    <xf numFmtId="9" fontId="0" fillId="6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42" fontId="0" fillId="0" borderId="1" xfId="0" applyNumberFormat="1" applyBorder="1"/>
    <xf numFmtId="0" fontId="11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vertical="center" textRotation="255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2">
    <dxf>
      <font>
        <color rgb="FF0070C0"/>
      </font>
    </dxf>
    <dxf>
      <font>
        <color rgb="FF00B05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ko-KR" altLang="en-US"/>
              <a:t>가족수와 문화생활비 상관관계</a:t>
            </a:r>
          </a:p>
        </c:rich>
      </c:tx>
      <c:layout/>
      <c:spPr>
        <a:noFill/>
        <a:ln w="25400">
          <a:noFill/>
        </a:ln>
      </c:spPr>
    </c:title>
    <c:plotArea>
      <c:layout/>
      <c:lineChart>
        <c:grouping val="standard"/>
        <c:ser>
          <c:idx val="1"/>
          <c:order val="0"/>
          <c:tx>
            <c:strRef>
              <c:f>매크로작업!#REF!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marker val="1"/>
        <c:axId val="99635968"/>
        <c:axId val="99637888"/>
      </c:lineChart>
      <c:lineChart>
        <c:grouping val="standard"/>
        <c:ser>
          <c:idx val="0"/>
          <c:order val="1"/>
          <c:tx>
            <c:strRef>
              <c:f>매크로작업!#REF!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(매크로작업!#REF!,매크로작업!#REF!,매크로작업!#REF!)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marker val="1"/>
        <c:axId val="99648640"/>
        <c:axId val="99650176"/>
      </c:lineChart>
      <c:catAx>
        <c:axId val="99635968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99637888"/>
        <c:crosses val="autoZero"/>
        <c:lblAlgn val="ctr"/>
        <c:lblOffset val="100"/>
        <c:tickLblSkip val="1"/>
        <c:tickMarkSkip val="1"/>
      </c:catAx>
      <c:valAx>
        <c:axId val="996378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ko-KR" altLang="en-US"/>
                  <a:t>가족수</a:t>
                </a:r>
              </a:p>
            </c:rich>
          </c:tx>
          <c:layout/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99635968"/>
        <c:crosses val="autoZero"/>
        <c:crossBetween val="between"/>
      </c:valAx>
      <c:catAx>
        <c:axId val="99648640"/>
        <c:scaling>
          <c:orientation val="minMax"/>
        </c:scaling>
        <c:delete val="1"/>
        <c:axPos val="b"/>
        <c:numFmt formatCode="General" sourceLinked="1"/>
        <c:tickLblPos val="none"/>
        <c:crossAx val="99650176"/>
        <c:crosses val="autoZero"/>
        <c:lblAlgn val="ctr"/>
        <c:lblOffset val="100"/>
      </c:catAx>
      <c:valAx>
        <c:axId val="99650176"/>
        <c:scaling>
          <c:orientation val="minMax"/>
          <c:max val="1000000"/>
          <c:min val="100000"/>
        </c:scaling>
        <c:axPos val="r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99648640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111" r="0.75000000000000111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roundedCorners val="1"/>
  <c:chart>
    <c:title>
      <c:tx>
        <c:rich>
          <a:bodyPr/>
          <a:lstStyle/>
          <a:p>
            <a:pPr>
              <a:defRPr sz="1800">
                <a:latin typeface="바탕체" pitchFamily="17" charset="-127"/>
                <a:ea typeface="바탕체" pitchFamily="17" charset="-127"/>
              </a:defRPr>
            </a:pPr>
            <a:r>
              <a:rPr lang="ko-KR" altLang="en-US" sz="1800">
                <a:latin typeface="바탕체" pitchFamily="17" charset="-127"/>
                <a:ea typeface="바탕체" pitchFamily="17" charset="-127"/>
              </a:rPr>
              <a:t>가족수와 문화생활비 상관관계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0.1399373217885862"/>
          <c:y val="0.16764163251523392"/>
          <c:w val="0.72327159576751021"/>
          <c:h val="0.65399825021872315"/>
        </c:manualLayout>
      </c:layout>
      <c:barChart>
        <c:barDir val="col"/>
        <c:grouping val="clustered"/>
        <c:ser>
          <c:idx val="0"/>
          <c:order val="0"/>
          <c:tx>
            <c:strRef>
              <c:f>차트작업!$E$3</c:f>
              <c:strCache>
                <c:ptCount val="1"/>
                <c:pt idx="0">
                  <c:v>피복비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(차트작업!$A$5,차트작업!$A$7,차트작업!$A$9:$A$10)</c:f>
              <c:strCache>
                <c:ptCount val="4"/>
                <c:pt idx="0">
                  <c:v>김성환</c:v>
                </c:pt>
                <c:pt idx="1">
                  <c:v>송재호</c:v>
                </c:pt>
                <c:pt idx="2">
                  <c:v>진성미</c:v>
                </c:pt>
                <c:pt idx="3">
                  <c:v>최성국</c:v>
                </c:pt>
              </c:strCache>
            </c:strRef>
          </c:cat>
          <c:val>
            <c:numRef>
              <c:f>(차트작업!$E$5,차트작업!$E$7,차트작업!$E$9:$E$10)</c:f>
              <c:numCache>
                <c:formatCode>General</c:formatCode>
                <c:ptCount val="4"/>
                <c:pt idx="0">
                  <c:v>630000</c:v>
                </c:pt>
                <c:pt idx="1">
                  <c:v>370000</c:v>
                </c:pt>
                <c:pt idx="2">
                  <c:v>500000</c:v>
                </c:pt>
                <c:pt idx="3">
                  <c:v>240000</c:v>
                </c:pt>
              </c:numCache>
            </c:numRef>
          </c:val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식비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layout/>
              <c:showVal val="1"/>
            </c:dLbl>
            <c:delete val="1"/>
          </c:dLbls>
          <c:cat>
            <c:strRef>
              <c:f>(차트작업!$A$5,차트작업!$A$7,차트작업!$A$9:$A$10)</c:f>
              <c:strCache>
                <c:ptCount val="4"/>
                <c:pt idx="0">
                  <c:v>김성환</c:v>
                </c:pt>
                <c:pt idx="1">
                  <c:v>송재호</c:v>
                </c:pt>
                <c:pt idx="2">
                  <c:v>진성미</c:v>
                </c:pt>
                <c:pt idx="3">
                  <c:v>최성국</c:v>
                </c:pt>
              </c:strCache>
            </c:strRef>
          </c:cat>
          <c:val>
            <c:numRef>
              <c:f>(차트작업!$F$5,차트작업!$F$7,차트작업!$F$9:$F$10)</c:f>
              <c:numCache>
                <c:formatCode>General</c:formatCode>
                <c:ptCount val="4"/>
                <c:pt idx="0">
                  <c:v>1200000</c:v>
                </c:pt>
                <c:pt idx="1">
                  <c:v>850000</c:v>
                </c:pt>
                <c:pt idx="2">
                  <c:v>300000</c:v>
                </c:pt>
                <c:pt idx="3">
                  <c:v>700000</c:v>
                </c:pt>
              </c:numCache>
            </c:numRef>
          </c:val>
        </c:ser>
        <c:ser>
          <c:idx val="2"/>
          <c:order val="2"/>
          <c:tx>
            <c:strRef>
              <c:f>차트작업!$G$3</c:f>
              <c:strCache>
                <c:ptCount val="1"/>
                <c:pt idx="0">
                  <c:v>문화생활비</c:v>
                </c:pt>
              </c:strCache>
            </c:strRef>
          </c:tx>
          <c:cat>
            <c:strRef>
              <c:f>(차트작업!$A$5,차트작업!$A$7,차트작업!$A$9:$A$10)</c:f>
              <c:strCache>
                <c:ptCount val="4"/>
                <c:pt idx="0">
                  <c:v>김성환</c:v>
                </c:pt>
                <c:pt idx="1">
                  <c:v>송재호</c:v>
                </c:pt>
                <c:pt idx="2">
                  <c:v>진성미</c:v>
                </c:pt>
                <c:pt idx="3">
                  <c:v>최성국</c:v>
                </c:pt>
              </c:strCache>
            </c:strRef>
          </c:cat>
          <c:val>
            <c:numRef>
              <c:f>(차트작업!$G$5,차트작업!$G$7,차트작업!$G$9:$G$10)</c:f>
              <c:numCache>
                <c:formatCode>General</c:formatCode>
                <c:ptCount val="4"/>
                <c:pt idx="0">
                  <c:v>800000</c:v>
                </c:pt>
                <c:pt idx="1">
                  <c:v>550000</c:v>
                </c:pt>
                <c:pt idx="2">
                  <c:v>200000</c:v>
                </c:pt>
                <c:pt idx="3">
                  <c:v>400000</c:v>
                </c:pt>
              </c:numCache>
            </c:numRef>
          </c:val>
        </c:ser>
        <c:axId val="100201600"/>
        <c:axId val="100203520"/>
      </c:barChart>
      <c:catAx>
        <c:axId val="100201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굴림" pitchFamily="50" charset="-127"/>
                    <a:ea typeface="굴림" pitchFamily="50" charset="-127"/>
                    <a:cs typeface="돋움"/>
                  </a:defRPr>
                </a:pPr>
                <a:r>
                  <a:rPr lang="ko-KR" altLang="en-US" sz="1100">
                    <a:latin typeface="굴림" pitchFamily="50" charset="-127"/>
                    <a:ea typeface="굴림" pitchFamily="50" charset="-127"/>
                  </a:rPr>
                  <a:t>세대주</a:t>
                </a:r>
              </a:p>
            </c:rich>
          </c:tx>
          <c:layout>
            <c:manualLayout>
              <c:xMode val="edge"/>
              <c:yMode val="edge"/>
              <c:x val="0.47956048478110991"/>
              <c:y val="0.9005873669001462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00203520"/>
        <c:crosses val="autoZero"/>
        <c:auto val="1"/>
        <c:lblAlgn val="ctr"/>
        <c:lblOffset val="100"/>
        <c:tickLblSkip val="1"/>
        <c:tickMarkSkip val="1"/>
      </c:catAx>
      <c:valAx>
        <c:axId val="10020352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r>
                  <a:rPr lang="ko-KR" altLang="en-US"/>
                  <a:t>금액</a:t>
                </a:r>
              </a:p>
            </c:rich>
          </c:tx>
          <c:layout>
            <c:manualLayout>
              <c:xMode val="edge"/>
              <c:yMode val="edge"/>
              <c:x val="2.5157271332779542E-2"/>
              <c:y val="0.403509924130585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002016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631159312633089"/>
          <c:y val="0.39473807002194899"/>
          <c:w val="0.11462255897258125"/>
          <c:h val="0.1657006032140719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111" r="0.750000000000001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163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합계" textlink="">
      <xdr:nvSpPr>
        <xdr:cNvPr id="3" name="육각형 2"/>
        <xdr:cNvSpPr/>
      </xdr:nvSpPr>
      <xdr:spPr bwMode="auto">
        <a:xfrm>
          <a:off x="7696200" y="342900"/>
          <a:ext cx="1524000" cy="51435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ko-KR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합계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8</xdr:row>
      <xdr:rowOff>161925</xdr:rowOff>
    </xdr:to>
    <xdr:sp macro="[0]!서식" textlink="">
      <xdr:nvSpPr>
        <xdr:cNvPr id="6" name="다이아몬드 5"/>
        <xdr:cNvSpPr/>
      </xdr:nvSpPr>
      <xdr:spPr bwMode="auto">
        <a:xfrm>
          <a:off x="7696200" y="1028700"/>
          <a:ext cx="1524000" cy="50482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ko-KR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30</xdr:row>
      <xdr:rowOff>0</xdr:rowOff>
    </xdr:to>
    <xdr:graphicFrame macro="">
      <xdr:nvGraphicFramePr>
        <xdr:cNvPr id="1741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대출현황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자동판매기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showRowColHeaders="0" showZeros="0" showOutlineSymbols="0" topLeftCell="B47589" zoomScaleNormal="55" zoomScaleSheetLayoutView="6" workbookViewId="0"/>
  </sheetViews>
  <sheetFormatPr defaultRowHeight="13.5"/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0"/>
  <sheetViews>
    <sheetView tabSelected="1" workbookViewId="0"/>
  </sheetViews>
  <sheetFormatPr defaultRowHeight="13.5"/>
  <cols>
    <col min="1" max="1" width="9.88671875" bestFit="1" customWidth="1"/>
    <col min="2" max="2" width="17.6640625" bestFit="1" customWidth="1"/>
    <col min="5" max="5" width="9.88671875" bestFit="1" customWidth="1"/>
    <col min="6" max="6" width="14.77734375" bestFit="1" customWidth="1"/>
  </cols>
  <sheetData>
    <row r="1" spans="1:6">
      <c r="A1" t="s">
        <v>221</v>
      </c>
    </row>
    <row r="2" spans="1:6">
      <c r="F2" t="s">
        <v>222</v>
      </c>
    </row>
    <row r="3" spans="1:6">
      <c r="A3" t="s">
        <v>223</v>
      </c>
      <c r="B3" t="s">
        <v>224</v>
      </c>
      <c r="C3" t="s">
        <v>225</v>
      </c>
      <c r="D3" t="s">
        <v>226</v>
      </c>
      <c r="E3" t="s">
        <v>227</v>
      </c>
      <c r="F3" t="s">
        <v>228</v>
      </c>
    </row>
    <row r="4" spans="1:6">
      <c r="A4" t="s">
        <v>229</v>
      </c>
      <c r="B4" t="s">
        <v>230</v>
      </c>
      <c r="C4" t="s">
        <v>231</v>
      </c>
      <c r="D4" t="s">
        <v>232</v>
      </c>
      <c r="E4">
        <v>1500000</v>
      </c>
      <c r="F4" t="s">
        <v>233</v>
      </c>
    </row>
    <row r="5" spans="1:6">
      <c r="A5" t="s">
        <v>234</v>
      </c>
      <c r="B5" t="s">
        <v>235</v>
      </c>
      <c r="C5" t="s">
        <v>236</v>
      </c>
      <c r="D5" t="s">
        <v>237</v>
      </c>
      <c r="E5">
        <v>1650000</v>
      </c>
      <c r="F5" t="s">
        <v>238</v>
      </c>
    </row>
    <row r="6" spans="1:6">
      <c r="A6" t="s">
        <v>239</v>
      </c>
      <c r="B6" t="s">
        <v>240</v>
      </c>
      <c r="C6" t="s">
        <v>241</v>
      </c>
      <c r="D6" t="s">
        <v>242</v>
      </c>
      <c r="E6">
        <v>1000000</v>
      </c>
      <c r="F6" t="s">
        <v>243</v>
      </c>
    </row>
    <row r="7" spans="1:6">
      <c r="A7" t="s">
        <v>244</v>
      </c>
      <c r="B7" t="s">
        <v>245</v>
      </c>
      <c r="C7" t="s">
        <v>246</v>
      </c>
      <c r="D7" t="s">
        <v>247</v>
      </c>
      <c r="E7">
        <v>800000</v>
      </c>
      <c r="F7" t="s">
        <v>248</v>
      </c>
    </row>
    <row r="8" spans="1:6">
      <c r="A8" t="s">
        <v>249</v>
      </c>
      <c r="B8" t="s">
        <v>250</v>
      </c>
      <c r="C8" t="s">
        <v>251</v>
      </c>
      <c r="D8" t="s">
        <v>252</v>
      </c>
      <c r="E8">
        <v>950000</v>
      </c>
      <c r="F8" t="s">
        <v>253</v>
      </c>
    </row>
    <row r="9" spans="1:6">
      <c r="A9" t="s">
        <v>254</v>
      </c>
      <c r="B9" t="s">
        <v>255</v>
      </c>
      <c r="C9" t="s">
        <v>256</v>
      </c>
      <c r="D9" t="s">
        <v>257</v>
      </c>
      <c r="E9">
        <v>1200000</v>
      </c>
      <c r="F9" t="s">
        <v>258</v>
      </c>
    </row>
    <row r="10" spans="1:6">
      <c r="A10" t="s">
        <v>259</v>
      </c>
      <c r="B10" t="s">
        <v>260</v>
      </c>
      <c r="C10" t="s">
        <v>261</v>
      </c>
      <c r="D10" t="s">
        <v>262</v>
      </c>
      <c r="E10">
        <v>750000</v>
      </c>
      <c r="F10" t="s">
        <v>263</v>
      </c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&amp;C&amp;F</oddHeader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J16"/>
  <sheetViews>
    <sheetView workbookViewId="0"/>
  </sheetViews>
  <sheetFormatPr defaultRowHeight="13.5"/>
  <cols>
    <col min="1" max="1" width="3.109375" customWidth="1"/>
    <col min="2" max="2" width="7.6640625" customWidth="1"/>
    <col min="3" max="3" width="7.44140625" customWidth="1"/>
    <col min="4" max="4" width="8.21875" bestFit="1" customWidth="1"/>
    <col min="5" max="9" width="6.5546875" customWidth="1"/>
    <col min="10" max="10" width="9.5546875" customWidth="1"/>
  </cols>
  <sheetData>
    <row r="1" spans="2:10" ht="22.5">
      <c r="B1" s="63" t="s">
        <v>1</v>
      </c>
      <c r="C1" s="63"/>
      <c r="D1" s="63"/>
      <c r="E1" s="63"/>
      <c r="F1" s="63"/>
      <c r="G1" s="63"/>
      <c r="H1" s="63"/>
      <c r="I1" s="63"/>
      <c r="J1" s="63"/>
    </row>
    <row r="3" spans="2:10">
      <c r="B3" s="61" t="s">
        <v>2</v>
      </c>
      <c r="C3" s="61" t="s">
        <v>3</v>
      </c>
      <c r="D3" s="62" t="s">
        <v>264</v>
      </c>
      <c r="E3" s="62"/>
      <c r="F3" s="62"/>
      <c r="G3" s="62"/>
      <c r="H3" s="62"/>
      <c r="I3" s="62"/>
      <c r="J3" s="61" t="s">
        <v>4</v>
      </c>
    </row>
    <row r="4" spans="2:10">
      <c r="B4" s="61"/>
      <c r="C4" s="61"/>
      <c r="D4" s="40" t="s">
        <v>265</v>
      </c>
      <c r="E4" s="40" t="s">
        <v>266</v>
      </c>
      <c r="F4" s="40" t="s">
        <v>5</v>
      </c>
      <c r="G4" s="40" t="s">
        <v>6</v>
      </c>
      <c r="H4" s="40" t="s">
        <v>7</v>
      </c>
      <c r="I4" s="40" t="s">
        <v>8</v>
      </c>
      <c r="J4" s="61"/>
    </row>
    <row r="5" spans="2:10">
      <c r="B5" s="2">
        <v>1</v>
      </c>
      <c r="C5" s="39" t="s">
        <v>9</v>
      </c>
      <c r="D5" s="41">
        <v>1</v>
      </c>
      <c r="E5" s="41">
        <v>3</v>
      </c>
      <c r="F5" s="41">
        <v>0</v>
      </c>
      <c r="G5" s="41">
        <v>0</v>
      </c>
      <c r="H5" s="41">
        <v>0</v>
      </c>
      <c r="I5" s="41">
        <v>0</v>
      </c>
      <c r="J5" s="2">
        <v>1</v>
      </c>
    </row>
    <row r="6" spans="2:10">
      <c r="B6" s="2">
        <v>2</v>
      </c>
      <c r="C6" s="39" t="s">
        <v>10</v>
      </c>
      <c r="D6" s="41">
        <v>3</v>
      </c>
      <c r="E6" s="41">
        <v>2</v>
      </c>
      <c r="F6" s="41">
        <v>2</v>
      </c>
      <c r="G6" s="41">
        <v>1</v>
      </c>
      <c r="H6" s="41">
        <v>2</v>
      </c>
      <c r="I6" s="41">
        <v>2</v>
      </c>
      <c r="J6" s="2">
        <v>2</v>
      </c>
    </row>
    <row r="7" spans="2:10">
      <c r="B7" s="2">
        <v>3</v>
      </c>
      <c r="C7" s="39" t="s">
        <v>11</v>
      </c>
      <c r="D7" s="41">
        <v>5</v>
      </c>
      <c r="E7" s="41">
        <v>3</v>
      </c>
      <c r="F7" s="41">
        <v>5</v>
      </c>
      <c r="G7" s="41">
        <v>3</v>
      </c>
      <c r="H7" s="41">
        <v>10</v>
      </c>
      <c r="I7" s="41">
        <v>0</v>
      </c>
      <c r="J7" s="2">
        <v>3</v>
      </c>
    </row>
    <row r="8" spans="2:10">
      <c r="B8" s="2">
        <v>4</v>
      </c>
      <c r="C8" s="39" t="s">
        <v>12</v>
      </c>
      <c r="D8" s="41">
        <v>4</v>
      </c>
      <c r="E8" s="41">
        <v>5</v>
      </c>
      <c r="F8" s="41">
        <v>7</v>
      </c>
      <c r="G8" s="41">
        <v>15</v>
      </c>
      <c r="H8" s="41">
        <v>12</v>
      </c>
      <c r="I8" s="41">
        <v>4</v>
      </c>
      <c r="J8" s="2">
        <v>2</v>
      </c>
    </row>
    <row r="9" spans="2:10">
      <c r="B9" s="2">
        <v>5</v>
      </c>
      <c r="C9" s="39" t="s">
        <v>13</v>
      </c>
      <c r="D9" s="41">
        <v>6</v>
      </c>
      <c r="E9" s="41">
        <v>7</v>
      </c>
      <c r="F9" s="41">
        <v>2</v>
      </c>
      <c r="G9" s="41">
        <v>22</v>
      </c>
      <c r="H9" s="41">
        <v>4</v>
      </c>
      <c r="I9" s="41">
        <v>0</v>
      </c>
      <c r="J9" s="2">
        <v>1</v>
      </c>
    </row>
    <row r="10" spans="2:10">
      <c r="B10" s="2">
        <v>6</v>
      </c>
      <c r="C10" s="39" t="s">
        <v>14</v>
      </c>
      <c r="D10" s="41">
        <v>5</v>
      </c>
      <c r="E10" s="41">
        <v>5</v>
      </c>
      <c r="F10" s="41">
        <v>0</v>
      </c>
      <c r="G10" s="41">
        <v>2</v>
      </c>
      <c r="H10" s="41">
        <v>0</v>
      </c>
      <c r="I10" s="41">
        <v>0</v>
      </c>
      <c r="J10" s="2">
        <v>5</v>
      </c>
    </row>
    <row r="11" spans="2:10">
      <c r="B11" s="2">
        <v>7</v>
      </c>
      <c r="C11" s="39" t="s">
        <v>15</v>
      </c>
      <c r="D11" s="41">
        <v>3</v>
      </c>
      <c r="E11" s="41">
        <v>2</v>
      </c>
      <c r="F11" s="41">
        <v>0</v>
      </c>
      <c r="G11" s="41">
        <v>1</v>
      </c>
      <c r="H11" s="41">
        <v>1</v>
      </c>
      <c r="I11" s="41">
        <v>1</v>
      </c>
      <c r="J11" s="2">
        <v>3</v>
      </c>
    </row>
    <row r="12" spans="2:10">
      <c r="B12" s="2">
        <v>8</v>
      </c>
      <c r="C12" s="39" t="s">
        <v>16</v>
      </c>
      <c r="D12" s="41">
        <v>2</v>
      </c>
      <c r="E12" s="41">
        <v>2</v>
      </c>
      <c r="F12" s="41">
        <v>3</v>
      </c>
      <c r="G12" s="41">
        <v>4</v>
      </c>
      <c r="H12" s="41">
        <v>2</v>
      </c>
      <c r="I12" s="41">
        <v>0</v>
      </c>
      <c r="J12" s="2">
        <v>2</v>
      </c>
    </row>
    <row r="13" spans="2:10">
      <c r="B13" s="2">
        <v>9</v>
      </c>
      <c r="C13" s="39" t="s">
        <v>17</v>
      </c>
      <c r="D13" s="41">
        <v>7</v>
      </c>
      <c r="E13" s="41">
        <v>1</v>
      </c>
      <c r="F13" s="41">
        <v>4</v>
      </c>
      <c r="G13" s="41">
        <v>2</v>
      </c>
      <c r="H13" s="41">
        <v>3</v>
      </c>
      <c r="I13" s="41">
        <v>0</v>
      </c>
      <c r="J13" s="2">
        <v>1</v>
      </c>
    </row>
    <row r="14" spans="2:10">
      <c r="B14" s="2">
        <v>10</v>
      </c>
      <c r="C14" s="39" t="s">
        <v>18</v>
      </c>
      <c r="D14" s="41">
        <v>1</v>
      </c>
      <c r="E14" s="41">
        <v>2</v>
      </c>
      <c r="F14" s="41">
        <v>0</v>
      </c>
      <c r="G14" s="41">
        <v>0</v>
      </c>
      <c r="H14" s="41">
        <v>1</v>
      </c>
      <c r="I14" s="41">
        <v>0</v>
      </c>
      <c r="J14" s="2">
        <v>0</v>
      </c>
    </row>
    <row r="15" spans="2:10">
      <c r="B15" s="2">
        <v>11</v>
      </c>
      <c r="C15" s="39" t="s">
        <v>19</v>
      </c>
      <c r="D15" s="41">
        <v>3</v>
      </c>
      <c r="E15" s="41">
        <v>6</v>
      </c>
      <c r="F15" s="41">
        <v>4</v>
      </c>
      <c r="G15" s="41">
        <v>3</v>
      </c>
      <c r="H15" s="41">
        <v>2</v>
      </c>
      <c r="I15" s="41">
        <v>1</v>
      </c>
      <c r="J15" s="2">
        <v>1</v>
      </c>
    </row>
    <row r="16" spans="2:10">
      <c r="B16" s="2">
        <v>12</v>
      </c>
      <c r="C16" s="39" t="s">
        <v>20</v>
      </c>
      <c r="D16" s="41">
        <v>4</v>
      </c>
      <c r="E16" s="41">
        <v>2</v>
      </c>
      <c r="F16" s="42" t="s">
        <v>21</v>
      </c>
      <c r="G16" s="43"/>
      <c r="H16" s="43"/>
      <c r="I16" s="43"/>
      <c r="J16" s="44"/>
    </row>
  </sheetData>
  <mergeCells count="5">
    <mergeCell ref="B3:B4"/>
    <mergeCell ref="C3:C4"/>
    <mergeCell ref="J3:J4"/>
    <mergeCell ref="D3:I3"/>
    <mergeCell ref="B1:J1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16"/>
  <sheetViews>
    <sheetView workbookViewId="0">
      <selection sqref="A1:E1"/>
    </sheetView>
  </sheetViews>
  <sheetFormatPr defaultRowHeight="13.5"/>
  <cols>
    <col min="1" max="1" width="8.33203125" bestFit="1" customWidth="1"/>
    <col min="2" max="2" width="10" bestFit="1" customWidth="1"/>
    <col min="3" max="3" width="14.33203125" bestFit="1" customWidth="1"/>
    <col min="4" max="4" width="10" bestFit="1" customWidth="1"/>
    <col min="5" max="5" width="11.44140625" bestFit="1" customWidth="1"/>
    <col min="6" max="7" width="9.5546875" customWidth="1"/>
    <col min="8" max="8" width="9.5546875" bestFit="1" customWidth="1"/>
    <col min="9" max="9" width="11.33203125" bestFit="1" customWidth="1"/>
  </cols>
  <sheetData>
    <row r="1" spans="1:5" ht="18.75">
      <c r="A1" s="64" t="s">
        <v>164</v>
      </c>
      <c r="B1" s="64"/>
      <c r="C1" s="64"/>
      <c r="D1" s="64"/>
      <c r="E1" s="64"/>
    </row>
    <row r="3" spans="1:5">
      <c r="A3" s="38" t="s">
        <v>141</v>
      </c>
      <c r="B3" s="38" t="s">
        <v>142</v>
      </c>
      <c r="C3" s="38" t="s">
        <v>143</v>
      </c>
      <c r="D3" s="38" t="s">
        <v>144</v>
      </c>
      <c r="E3" s="38" t="s">
        <v>145</v>
      </c>
    </row>
    <row r="4" spans="1:5">
      <c r="A4" s="17" t="s">
        <v>146</v>
      </c>
      <c r="B4" s="17" t="s">
        <v>147</v>
      </c>
      <c r="C4" s="17">
        <v>15000000</v>
      </c>
      <c r="D4" s="36">
        <v>36</v>
      </c>
      <c r="E4" s="37">
        <v>40168</v>
      </c>
    </row>
    <row r="5" spans="1:5">
      <c r="A5" s="17" t="s">
        <v>148</v>
      </c>
      <c r="B5" s="17" t="s">
        <v>149</v>
      </c>
      <c r="C5" s="17">
        <v>5000000</v>
      </c>
      <c r="D5" s="36">
        <v>12</v>
      </c>
      <c r="E5" s="37">
        <v>39939</v>
      </c>
    </row>
    <row r="6" spans="1:5">
      <c r="A6" s="17" t="s">
        <v>150</v>
      </c>
      <c r="B6" s="17" t="s">
        <v>151</v>
      </c>
      <c r="C6" s="17">
        <v>32000000</v>
      </c>
      <c r="D6" s="36">
        <v>60</v>
      </c>
      <c r="E6" s="37">
        <v>39942</v>
      </c>
    </row>
    <row r="7" spans="1:5">
      <c r="A7" s="17" t="s">
        <v>152</v>
      </c>
      <c r="B7" s="17" t="s">
        <v>153</v>
      </c>
      <c r="C7" s="17">
        <v>6000000</v>
      </c>
      <c r="D7" s="36">
        <v>24</v>
      </c>
      <c r="E7" s="37">
        <v>39952</v>
      </c>
    </row>
    <row r="8" spans="1:5">
      <c r="A8" s="17" t="s">
        <v>154</v>
      </c>
      <c r="B8" s="17" t="s">
        <v>165</v>
      </c>
      <c r="C8" s="17">
        <v>7000000</v>
      </c>
      <c r="D8" s="36">
        <v>24</v>
      </c>
      <c r="E8" s="37">
        <v>40177</v>
      </c>
    </row>
    <row r="9" spans="1:5">
      <c r="A9" s="17" t="s">
        <v>155</v>
      </c>
      <c r="B9" s="17" t="s">
        <v>147</v>
      </c>
      <c r="C9" s="17">
        <v>24000000</v>
      </c>
      <c r="D9" s="36">
        <v>36</v>
      </c>
      <c r="E9" s="37">
        <v>40022</v>
      </c>
    </row>
    <row r="10" spans="1:5">
      <c r="A10" s="17" t="s">
        <v>156</v>
      </c>
      <c r="B10" s="17" t="s">
        <v>151</v>
      </c>
      <c r="C10" s="17">
        <v>9000000</v>
      </c>
      <c r="D10" s="36">
        <v>24</v>
      </c>
      <c r="E10" s="37">
        <v>39867</v>
      </c>
    </row>
    <row r="11" spans="1:5">
      <c r="A11" s="17" t="s">
        <v>157</v>
      </c>
      <c r="B11" s="17" t="s">
        <v>153</v>
      </c>
      <c r="C11" s="17">
        <v>14500000</v>
      </c>
      <c r="D11" s="36">
        <v>36</v>
      </c>
      <c r="E11" s="37">
        <v>39923</v>
      </c>
    </row>
    <row r="12" spans="1:5">
      <c r="A12" s="17" t="s">
        <v>158</v>
      </c>
      <c r="B12" s="17" t="s">
        <v>166</v>
      </c>
      <c r="C12" s="17">
        <v>5500000</v>
      </c>
      <c r="D12" s="36">
        <v>24</v>
      </c>
      <c r="E12" s="37">
        <v>40091</v>
      </c>
    </row>
    <row r="13" spans="1:5">
      <c r="A13" s="17" t="s">
        <v>159</v>
      </c>
      <c r="B13" s="17" t="s">
        <v>167</v>
      </c>
      <c r="C13" s="17">
        <v>7800000</v>
      </c>
      <c r="D13" s="36">
        <v>12</v>
      </c>
      <c r="E13" s="37">
        <v>39982</v>
      </c>
    </row>
    <row r="14" spans="1:5">
      <c r="A14" s="17" t="s">
        <v>160</v>
      </c>
      <c r="B14" s="17" t="s">
        <v>151</v>
      </c>
      <c r="C14" s="17">
        <v>12500000</v>
      </c>
      <c r="D14" s="36">
        <v>36</v>
      </c>
      <c r="E14" s="37">
        <v>39972</v>
      </c>
    </row>
    <row r="15" spans="1:5">
      <c r="A15" s="17" t="s">
        <v>161</v>
      </c>
      <c r="B15" s="17" t="s">
        <v>151</v>
      </c>
      <c r="C15" s="17">
        <v>25000000</v>
      </c>
      <c r="D15" s="36">
        <v>60</v>
      </c>
      <c r="E15" s="37">
        <v>40032</v>
      </c>
    </row>
    <row r="16" spans="1:5">
      <c r="A16" s="17" t="s">
        <v>162</v>
      </c>
      <c r="B16" s="17" t="s">
        <v>147</v>
      </c>
      <c r="C16" s="17">
        <v>45000000</v>
      </c>
      <c r="D16" s="36">
        <v>60</v>
      </c>
      <c r="E16" s="37">
        <v>40003</v>
      </c>
    </row>
  </sheetData>
  <mergeCells count="1">
    <mergeCell ref="A1:E1"/>
  </mergeCells>
  <phoneticPr fontId="2" type="noConversion"/>
  <conditionalFormatting sqref="A4:E16">
    <cfRule type="expression" dxfId="1" priority="2">
      <formula>LEFT($B4,3)="학자금"</formula>
    </cfRule>
    <cfRule type="expression" dxfId="0" priority="1">
      <formula>RIGHT($B4,2)="대출"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8"/>
  <sheetViews>
    <sheetView zoomScaleNormal="100" workbookViewId="0"/>
  </sheetViews>
  <sheetFormatPr defaultRowHeight="13.5"/>
  <cols>
    <col min="1" max="1" width="10.77734375" style="21" customWidth="1"/>
    <col min="2" max="2" width="10.88671875" style="21" customWidth="1"/>
    <col min="3" max="3" width="12.33203125" style="21" bestFit="1" customWidth="1"/>
    <col min="4" max="4" width="12.6640625" style="21" bestFit="1" customWidth="1"/>
    <col min="5" max="5" width="4.6640625" style="19" customWidth="1"/>
    <col min="6" max="6" width="9.88671875" style="23" customWidth="1"/>
    <col min="7" max="7" width="13.44140625" style="21" customWidth="1"/>
    <col min="8" max="8" width="11.44140625" style="21" bestFit="1" customWidth="1"/>
    <col min="9" max="9" width="23.88671875" style="21" bestFit="1" customWidth="1"/>
    <col min="10" max="16384" width="8.88671875" style="21"/>
  </cols>
  <sheetData>
    <row r="1" spans="1:10">
      <c r="A1" s="18" t="s">
        <v>54</v>
      </c>
      <c r="B1" s="18"/>
      <c r="C1" s="19"/>
      <c r="D1" s="20" t="s">
        <v>55</v>
      </c>
      <c r="F1" s="9" t="s">
        <v>56</v>
      </c>
      <c r="G1"/>
      <c r="H1"/>
      <c r="I1" s="6"/>
    </row>
    <row r="2" spans="1:10" s="23" customFormat="1">
      <c r="A2" s="3" t="s">
        <v>57</v>
      </c>
      <c r="B2" s="3" t="s">
        <v>58</v>
      </c>
      <c r="C2" s="3" t="s">
        <v>0</v>
      </c>
      <c r="D2" s="8" t="s">
        <v>59</v>
      </c>
      <c r="E2" s="22"/>
      <c r="F2" s="5" t="s">
        <v>60</v>
      </c>
      <c r="G2" s="5" t="s">
        <v>61</v>
      </c>
      <c r="H2" s="1" t="s">
        <v>62</v>
      </c>
      <c r="I2" s="7" t="s">
        <v>63</v>
      </c>
      <c r="J2" s="21"/>
    </row>
    <row r="3" spans="1:10">
      <c r="A3" s="24" t="s">
        <v>64</v>
      </c>
      <c r="B3" s="3" t="s">
        <v>65</v>
      </c>
      <c r="C3" s="25">
        <v>25000</v>
      </c>
      <c r="D3" s="26">
        <f>HLOOKUP(RIGHT(A3,3),$B$10:$D$11,2)*C3</f>
        <v>7500000</v>
      </c>
      <c r="F3" s="1" t="s">
        <v>66</v>
      </c>
      <c r="G3" s="27" t="s">
        <v>67</v>
      </c>
      <c r="H3" s="12">
        <v>40370</v>
      </c>
      <c r="I3" s="13" t="str">
        <f>CHOOSE(WEEKDAY(H3,1),"일요일","월요일","화요일","수요일","목요일","금요일","토요일")</f>
        <v>일요일</v>
      </c>
    </row>
    <row r="4" spans="1:10">
      <c r="A4" s="5" t="s">
        <v>68</v>
      </c>
      <c r="B4" s="3" t="s">
        <v>69</v>
      </c>
      <c r="C4" s="25">
        <v>14500</v>
      </c>
      <c r="D4" s="26">
        <f t="shared" ref="D4:D7" si="0">HLOOKUP(RIGHT(A4,3),$B$10:$D$11,2)*C4</f>
        <v>4350000</v>
      </c>
      <c r="F4" s="1" t="s">
        <v>70</v>
      </c>
      <c r="G4" s="27" t="s">
        <v>71</v>
      </c>
      <c r="H4" s="12">
        <v>40370</v>
      </c>
      <c r="I4" s="13" t="str">
        <f t="shared" ref="I4:I11" si="1">CHOOSE(WEEKDAY(H4,1),"일요일","월요일","화요일","수요일","목요일","금요일","토요일")</f>
        <v>일요일</v>
      </c>
    </row>
    <row r="5" spans="1:10">
      <c r="A5" s="5" t="s">
        <v>72</v>
      </c>
      <c r="B5" s="3" t="s">
        <v>65</v>
      </c>
      <c r="C5" s="25">
        <v>56000</v>
      </c>
      <c r="D5" s="26">
        <f t="shared" si="0"/>
        <v>19600000</v>
      </c>
      <c r="F5" s="1" t="s">
        <v>73</v>
      </c>
      <c r="G5" s="27" t="s">
        <v>67</v>
      </c>
      <c r="H5" s="12">
        <v>40370</v>
      </c>
      <c r="I5" s="13" t="str">
        <f t="shared" si="1"/>
        <v>일요일</v>
      </c>
    </row>
    <row r="6" spans="1:10">
      <c r="A6" s="5" t="s">
        <v>74</v>
      </c>
      <c r="B6" s="3" t="s">
        <v>65</v>
      </c>
      <c r="C6" s="25">
        <v>43000</v>
      </c>
      <c r="D6" s="26">
        <f t="shared" si="0"/>
        <v>17200000</v>
      </c>
      <c r="F6" s="1" t="s">
        <v>75</v>
      </c>
      <c r="G6" s="27" t="s">
        <v>71</v>
      </c>
      <c r="H6" s="12">
        <v>40370</v>
      </c>
      <c r="I6" s="13" t="str">
        <f t="shared" si="1"/>
        <v>일요일</v>
      </c>
    </row>
    <row r="7" spans="1:10">
      <c r="A7" s="5" t="s">
        <v>76</v>
      </c>
      <c r="B7" s="3" t="s">
        <v>69</v>
      </c>
      <c r="C7" s="25">
        <v>24500</v>
      </c>
      <c r="D7" s="26">
        <f t="shared" si="0"/>
        <v>8575000</v>
      </c>
      <c r="F7" s="1" t="s">
        <v>77</v>
      </c>
      <c r="G7" s="27" t="s">
        <v>78</v>
      </c>
      <c r="H7" s="12">
        <v>40373</v>
      </c>
      <c r="I7" s="13" t="str">
        <f t="shared" si="1"/>
        <v>수요일</v>
      </c>
    </row>
    <row r="8" spans="1:10">
      <c r="C8" s="28"/>
      <c r="F8" s="1" t="s">
        <v>79</v>
      </c>
      <c r="G8" s="27" t="s">
        <v>80</v>
      </c>
      <c r="H8" s="12">
        <v>40378</v>
      </c>
      <c r="I8" s="13" t="str">
        <f t="shared" si="1"/>
        <v>월요일</v>
      </c>
    </row>
    <row r="9" spans="1:10">
      <c r="A9" s="65" t="s">
        <v>139</v>
      </c>
      <c r="B9" s="65"/>
      <c r="C9" s="65"/>
      <c r="D9" s="65"/>
      <c r="F9" s="1" t="s">
        <v>81</v>
      </c>
      <c r="G9" s="27" t="s">
        <v>67</v>
      </c>
      <c r="H9" s="12">
        <v>40379</v>
      </c>
      <c r="I9" s="13" t="str">
        <f t="shared" si="1"/>
        <v>화요일</v>
      </c>
    </row>
    <row r="10" spans="1:10">
      <c r="A10" s="3" t="s">
        <v>82</v>
      </c>
      <c r="B10" s="13" t="s">
        <v>83</v>
      </c>
      <c r="C10" s="4" t="s">
        <v>84</v>
      </c>
      <c r="D10" s="29" t="s">
        <v>85</v>
      </c>
      <c r="F10" s="1" t="s">
        <v>86</v>
      </c>
      <c r="G10" s="27" t="s">
        <v>87</v>
      </c>
      <c r="H10" s="12">
        <v>40380</v>
      </c>
      <c r="I10" s="13" t="str">
        <f t="shared" si="1"/>
        <v>수요일</v>
      </c>
    </row>
    <row r="11" spans="1:10">
      <c r="A11" s="3" t="s">
        <v>88</v>
      </c>
      <c r="B11" s="26">
        <v>300</v>
      </c>
      <c r="C11" s="30">
        <v>350</v>
      </c>
      <c r="D11" s="26">
        <v>400</v>
      </c>
      <c r="F11" s="1" t="s">
        <v>89</v>
      </c>
      <c r="G11" s="27" t="s">
        <v>87</v>
      </c>
      <c r="H11" s="12">
        <v>40414</v>
      </c>
      <c r="I11" s="13" t="str">
        <f t="shared" si="1"/>
        <v>화요일</v>
      </c>
    </row>
    <row r="12" spans="1:10">
      <c r="A12" s="14"/>
      <c r="B12" s="31"/>
      <c r="C12" s="32"/>
      <c r="D12" s="31"/>
      <c r="F12" s="21"/>
    </row>
    <row r="13" spans="1:10">
      <c r="A13" s="14"/>
      <c r="B13" s="31"/>
      <c r="C13" s="32"/>
      <c r="D13" s="31"/>
      <c r="F13" s="21"/>
    </row>
    <row r="14" spans="1:10">
      <c r="A14" s="60" t="s">
        <v>286</v>
      </c>
      <c r="F14" s="21" t="s">
        <v>163</v>
      </c>
    </row>
    <row r="15" spans="1:10">
      <c r="A15" s="1" t="s">
        <v>90</v>
      </c>
      <c r="B15" s="1" t="s">
        <v>91</v>
      </c>
      <c r="C15" s="2" t="s">
        <v>92</v>
      </c>
      <c r="F15" s="1" t="s">
        <v>93</v>
      </c>
      <c r="G15" s="1" t="s">
        <v>94</v>
      </c>
      <c r="H15" s="1" t="s">
        <v>95</v>
      </c>
      <c r="I15" s="7" t="s">
        <v>96</v>
      </c>
      <c r="J15"/>
    </row>
    <row r="16" spans="1:10">
      <c r="A16" s="1" t="s">
        <v>97</v>
      </c>
      <c r="B16" s="1" t="s">
        <v>98</v>
      </c>
      <c r="C16" s="2">
        <v>98</v>
      </c>
      <c r="F16" s="2" t="s">
        <v>99</v>
      </c>
      <c r="G16" s="2" t="s">
        <v>100</v>
      </c>
      <c r="H16" s="2">
        <v>792</v>
      </c>
      <c r="I16" s="33" t="str">
        <f>UPPER(F16 &amp; "(" &amp; G16 &amp; ")")</f>
        <v>PORTUGAL(LISBON)</v>
      </c>
      <c r="J16"/>
    </row>
    <row r="17" spans="1:10">
      <c r="A17" s="1" t="s">
        <v>101</v>
      </c>
      <c r="B17" s="1" t="s">
        <v>102</v>
      </c>
      <c r="C17" s="2">
        <v>76</v>
      </c>
      <c r="F17" s="2" t="s">
        <v>103</v>
      </c>
      <c r="G17" s="2" t="s">
        <v>104</v>
      </c>
      <c r="H17" s="2">
        <v>438</v>
      </c>
      <c r="I17" s="33" t="str">
        <f t="shared" ref="I17:I23" si="2">UPPER(F17 &amp; "(" &amp; G17 &amp; ")")</f>
        <v>SPAIN(MADRID)</v>
      </c>
      <c r="J17"/>
    </row>
    <row r="18" spans="1:10">
      <c r="A18" s="1" t="s">
        <v>22</v>
      </c>
      <c r="B18" s="1" t="s">
        <v>105</v>
      </c>
      <c r="C18" s="2">
        <v>86</v>
      </c>
      <c r="F18" s="2" t="s">
        <v>106</v>
      </c>
      <c r="G18" s="2" t="s">
        <v>107</v>
      </c>
      <c r="H18" s="2">
        <v>614</v>
      </c>
      <c r="I18" s="33" t="str">
        <f t="shared" si="2"/>
        <v>FRANCE(PARIS)</v>
      </c>
      <c r="J18"/>
    </row>
    <row r="19" spans="1:10">
      <c r="A19" s="1" t="s">
        <v>23</v>
      </c>
      <c r="B19" s="1" t="s">
        <v>102</v>
      </c>
      <c r="C19" s="2">
        <v>80</v>
      </c>
      <c r="F19" s="2" t="s">
        <v>108</v>
      </c>
      <c r="G19" s="2" t="s">
        <v>109</v>
      </c>
      <c r="H19" s="2">
        <v>695</v>
      </c>
      <c r="I19" s="33" t="str">
        <f t="shared" si="2"/>
        <v>ENGLAND(LONDON)</v>
      </c>
      <c r="J19"/>
    </row>
    <row r="20" spans="1:10">
      <c r="A20" s="1" t="s">
        <v>24</v>
      </c>
      <c r="B20" s="1" t="s">
        <v>102</v>
      </c>
      <c r="C20" s="2">
        <v>65</v>
      </c>
      <c r="F20" s="2" t="s">
        <v>110</v>
      </c>
      <c r="G20" s="2" t="s">
        <v>111</v>
      </c>
      <c r="H20" s="2">
        <v>500</v>
      </c>
      <c r="I20" s="33" t="str">
        <f t="shared" si="2"/>
        <v>SWEDEN(STOCKHOLM)</v>
      </c>
      <c r="J20"/>
    </row>
    <row r="21" spans="1:10">
      <c r="A21" s="1" t="s">
        <v>25</v>
      </c>
      <c r="B21" s="1" t="s">
        <v>105</v>
      </c>
      <c r="C21" s="2">
        <v>100</v>
      </c>
      <c r="F21" s="2" t="s">
        <v>112</v>
      </c>
      <c r="G21" s="2" t="s">
        <v>113</v>
      </c>
      <c r="H21" s="2">
        <v>589</v>
      </c>
      <c r="I21" s="33" t="str">
        <f t="shared" si="2"/>
        <v>GERMANY(BERLIN)</v>
      </c>
      <c r="J21"/>
    </row>
    <row r="22" spans="1:10">
      <c r="A22" s="1" t="s">
        <v>26</v>
      </c>
      <c r="B22" s="1" t="s">
        <v>105</v>
      </c>
      <c r="C22" s="2">
        <v>98</v>
      </c>
      <c r="F22" s="2" t="s">
        <v>114</v>
      </c>
      <c r="G22" s="2" t="s">
        <v>115</v>
      </c>
      <c r="H22" s="2">
        <v>765</v>
      </c>
      <c r="I22" s="33" t="str">
        <f t="shared" si="2"/>
        <v>NETHERLAND(AMSTERDAM)</v>
      </c>
      <c r="J22"/>
    </row>
    <row r="23" spans="1:10">
      <c r="A23" s="1" t="s">
        <v>27</v>
      </c>
      <c r="B23" s="1" t="s">
        <v>98</v>
      </c>
      <c r="C23" s="2">
        <v>85</v>
      </c>
      <c r="F23" s="2" t="s">
        <v>116</v>
      </c>
      <c r="G23" s="2" t="s">
        <v>117</v>
      </c>
      <c r="H23" s="2">
        <v>1000</v>
      </c>
      <c r="I23" s="33" t="str">
        <f t="shared" si="2"/>
        <v>SWITZERLAND(BERN)</v>
      </c>
      <c r="J23"/>
    </row>
    <row r="24" spans="1:10">
      <c r="A24" s="1" t="s">
        <v>28</v>
      </c>
      <c r="B24" s="1" t="s">
        <v>105</v>
      </c>
      <c r="C24" s="2">
        <v>100</v>
      </c>
      <c r="J24"/>
    </row>
    <row r="25" spans="1:10">
      <c r="A25" s="1" t="s">
        <v>29</v>
      </c>
      <c r="B25" s="1" t="s">
        <v>102</v>
      </c>
      <c r="C25" s="2">
        <v>90</v>
      </c>
      <c r="J25"/>
    </row>
    <row r="26" spans="1:10">
      <c r="A26" s="1" t="s">
        <v>30</v>
      </c>
      <c r="B26" s="1" t="s">
        <v>105</v>
      </c>
      <c r="C26" s="2">
        <v>85</v>
      </c>
      <c r="J26"/>
    </row>
    <row r="27" spans="1:10">
      <c r="A27" s="1" t="s">
        <v>31</v>
      </c>
      <c r="B27" s="1" t="s">
        <v>98</v>
      </c>
      <c r="C27" s="2">
        <v>75</v>
      </c>
      <c r="J27"/>
    </row>
    <row r="28" spans="1:10">
      <c r="J28"/>
    </row>
    <row r="29" spans="1:10">
      <c r="A29" s="10" t="s">
        <v>91</v>
      </c>
      <c r="B29" s="8" t="s">
        <v>118</v>
      </c>
      <c r="J29"/>
    </row>
    <row r="30" spans="1:10">
      <c r="A30" s="10" t="s">
        <v>105</v>
      </c>
      <c r="B30" s="34" t="str">
        <f>DCOUNT(A15:C27,3,A29:A30)&amp;"명"</f>
        <v>5명</v>
      </c>
      <c r="F30"/>
      <c r="G30"/>
      <c r="H30"/>
      <c r="I30"/>
      <c r="J30"/>
    </row>
    <row r="31" spans="1:10">
      <c r="F31"/>
      <c r="G31"/>
      <c r="H31"/>
      <c r="I31"/>
      <c r="J31"/>
    </row>
    <row r="32" spans="1:10">
      <c r="F32"/>
      <c r="G32"/>
      <c r="H32"/>
      <c r="I32"/>
      <c r="J32"/>
    </row>
    <row r="33" spans="1:6">
      <c r="A33" s="15" t="s">
        <v>140</v>
      </c>
    </row>
    <row r="34" spans="1:6">
      <c r="A34" s="1" t="s">
        <v>60</v>
      </c>
      <c r="B34" s="1" t="s">
        <v>119</v>
      </c>
      <c r="C34" s="1" t="s">
        <v>120</v>
      </c>
      <c r="D34" s="8" t="s">
        <v>121</v>
      </c>
      <c r="F34" s="21"/>
    </row>
    <row r="35" spans="1:6">
      <c r="A35" s="1" t="s">
        <v>122</v>
      </c>
      <c r="B35" s="1" t="s">
        <v>123</v>
      </c>
      <c r="C35" s="12">
        <v>31241</v>
      </c>
      <c r="D35" s="1" t="str">
        <f>IF(YEAR($B$48)-YEAR(C35)&gt;=26,"채용","")</f>
        <v/>
      </c>
      <c r="F35" s="21"/>
    </row>
    <row r="36" spans="1:6">
      <c r="A36" s="1" t="s">
        <v>124</v>
      </c>
      <c r="B36" s="1" t="s">
        <v>125</v>
      </c>
      <c r="C36" s="12">
        <v>30387</v>
      </c>
      <c r="D36" s="39" t="str">
        <f t="shared" ref="D36:D46" si="3">IF(YEAR($B$48)-YEAR(C36)&gt;=26,"채용","")</f>
        <v>채용</v>
      </c>
      <c r="F36" s="21"/>
    </row>
    <row r="37" spans="1:6">
      <c r="A37" s="1" t="s">
        <v>126</v>
      </c>
      <c r="B37" s="1" t="s">
        <v>127</v>
      </c>
      <c r="C37" s="12">
        <v>31045</v>
      </c>
      <c r="D37" s="39" t="str">
        <f t="shared" si="3"/>
        <v>채용</v>
      </c>
      <c r="F37" s="21"/>
    </row>
    <row r="38" spans="1:6">
      <c r="A38" s="1" t="s">
        <v>128</v>
      </c>
      <c r="B38" s="1" t="s">
        <v>123</v>
      </c>
      <c r="C38" s="12">
        <v>24359</v>
      </c>
      <c r="D38" s="39" t="str">
        <f t="shared" si="3"/>
        <v>채용</v>
      </c>
      <c r="F38" s="21"/>
    </row>
    <row r="39" spans="1:6">
      <c r="A39" s="1" t="s">
        <v>129</v>
      </c>
      <c r="B39" s="1" t="s">
        <v>123</v>
      </c>
      <c r="C39" s="12">
        <v>31324</v>
      </c>
      <c r="D39" s="39" t="str">
        <f t="shared" si="3"/>
        <v/>
      </c>
      <c r="F39" s="21"/>
    </row>
    <row r="40" spans="1:6">
      <c r="A40" s="1" t="s">
        <v>130</v>
      </c>
      <c r="B40" s="1" t="s">
        <v>125</v>
      </c>
      <c r="C40" s="12">
        <v>27737</v>
      </c>
      <c r="D40" s="39" t="str">
        <f t="shared" si="3"/>
        <v>채용</v>
      </c>
      <c r="F40" s="21"/>
    </row>
    <row r="41" spans="1:6">
      <c r="A41" s="1" t="s">
        <v>131</v>
      </c>
      <c r="B41" s="1" t="s">
        <v>125</v>
      </c>
      <c r="C41" s="12">
        <v>31111</v>
      </c>
      <c r="D41" s="39" t="str">
        <f t="shared" si="3"/>
        <v/>
      </c>
      <c r="F41" s="21"/>
    </row>
    <row r="42" spans="1:6">
      <c r="A42" s="1" t="s">
        <v>132</v>
      </c>
      <c r="B42" s="1" t="s">
        <v>127</v>
      </c>
      <c r="C42" s="12">
        <v>30319</v>
      </c>
      <c r="D42" s="39" t="str">
        <f t="shared" si="3"/>
        <v>채용</v>
      </c>
      <c r="F42" s="21"/>
    </row>
    <row r="43" spans="1:6">
      <c r="A43" s="1" t="s">
        <v>133</v>
      </c>
      <c r="B43" s="1" t="s">
        <v>127</v>
      </c>
      <c r="C43" s="12">
        <v>32574</v>
      </c>
      <c r="D43" s="39" t="str">
        <f t="shared" si="3"/>
        <v/>
      </c>
    </row>
    <row r="44" spans="1:6">
      <c r="A44" s="1" t="s">
        <v>134</v>
      </c>
      <c r="B44" s="1" t="s">
        <v>135</v>
      </c>
      <c r="C44" s="12">
        <v>31175</v>
      </c>
      <c r="D44" s="39" t="str">
        <f t="shared" si="3"/>
        <v/>
      </c>
    </row>
    <row r="45" spans="1:6">
      <c r="A45" s="1" t="s">
        <v>136</v>
      </c>
      <c r="B45" s="1" t="s">
        <v>135</v>
      </c>
      <c r="C45" s="12">
        <v>30858</v>
      </c>
      <c r="D45" s="39" t="str">
        <f t="shared" si="3"/>
        <v>채용</v>
      </c>
    </row>
    <row r="46" spans="1:6">
      <c r="A46" s="1" t="s">
        <v>137</v>
      </c>
      <c r="B46" s="1" t="s">
        <v>135</v>
      </c>
      <c r="C46" s="12">
        <v>30862</v>
      </c>
      <c r="D46" s="39" t="str">
        <f t="shared" si="3"/>
        <v>채용</v>
      </c>
    </row>
    <row r="47" spans="1:6">
      <c r="A47"/>
      <c r="B47"/>
      <c r="C47"/>
      <c r="D47"/>
    </row>
    <row r="48" spans="1:6">
      <c r="A48" s="5" t="s">
        <v>138</v>
      </c>
      <c r="B48" s="35">
        <v>40356</v>
      </c>
      <c r="C48"/>
      <c r="D48"/>
    </row>
  </sheetData>
  <mergeCells count="1">
    <mergeCell ref="A9:D9"/>
  </mergeCells>
  <phoneticPr fontId="2" type="noConversion"/>
  <printOptions headings="1" gridLines="1"/>
  <pageMargins left="0.75" right="0.75" top="1" bottom="1" header="0.5" footer="0.5"/>
  <pageSetup paperSize="9" scale="89" orientation="landscape" r:id="rId1"/>
  <headerFooter alignWithMargins="0">
    <oddFooter>&amp;C&amp;F&amp;A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25"/>
  <sheetViews>
    <sheetView workbookViewId="0">
      <selection sqref="A1:I1"/>
    </sheetView>
  </sheetViews>
  <sheetFormatPr defaultRowHeight="13.5"/>
  <cols>
    <col min="1" max="4" width="7.77734375" customWidth="1"/>
    <col min="5" max="7" width="8.21875" bestFit="1" customWidth="1"/>
    <col min="8" max="9" width="7.5546875" bestFit="1" customWidth="1"/>
  </cols>
  <sheetData>
    <row r="1" spans="1:9" ht="18.75">
      <c r="A1" s="66" t="s">
        <v>179</v>
      </c>
      <c r="B1" s="66"/>
      <c r="C1" s="66"/>
      <c r="D1" s="66"/>
      <c r="E1" s="66"/>
      <c r="F1" s="66"/>
      <c r="G1" s="66"/>
      <c r="H1" s="66"/>
      <c r="I1" s="66"/>
    </row>
    <row r="3" spans="1:9">
      <c r="A3" t="s">
        <v>168</v>
      </c>
    </row>
    <row r="4" spans="1:9">
      <c r="A4" s="1" t="s">
        <v>169</v>
      </c>
      <c r="B4" s="1" t="s">
        <v>176</v>
      </c>
      <c r="C4" s="1" t="s">
        <v>177</v>
      </c>
      <c r="D4" s="1" t="s">
        <v>178</v>
      </c>
    </row>
    <row r="5" spans="1:9">
      <c r="A5" s="1" t="s">
        <v>173</v>
      </c>
      <c r="B5" s="1">
        <v>88</v>
      </c>
      <c r="C5" s="2">
        <v>89</v>
      </c>
      <c r="D5" s="2">
        <v>96</v>
      </c>
    </row>
    <row r="6" spans="1:9">
      <c r="A6" s="1" t="s">
        <v>170</v>
      </c>
      <c r="B6" s="1">
        <v>95</v>
      </c>
      <c r="C6" s="2">
        <v>94</v>
      </c>
      <c r="D6" s="2">
        <v>90</v>
      </c>
    </row>
    <row r="7" spans="1:9">
      <c r="A7" s="1" t="s">
        <v>171</v>
      </c>
      <c r="B7" s="1">
        <v>90</v>
      </c>
      <c r="C7" s="2">
        <v>98</v>
      </c>
      <c r="D7" s="2">
        <v>87</v>
      </c>
    </row>
    <row r="8" spans="1:9">
      <c r="A8" s="1" t="s">
        <v>172</v>
      </c>
      <c r="B8" s="1">
        <v>94</v>
      </c>
      <c r="C8" s="2">
        <v>96</v>
      </c>
      <c r="D8" s="2">
        <v>92</v>
      </c>
    </row>
    <row r="9" spans="1:9">
      <c r="A9" s="1" t="s">
        <v>174</v>
      </c>
      <c r="B9" s="1">
        <v>92</v>
      </c>
      <c r="C9" s="2">
        <v>93</v>
      </c>
      <c r="D9" s="2">
        <v>91</v>
      </c>
    </row>
    <row r="11" spans="1:9">
      <c r="A11" t="s">
        <v>175</v>
      </c>
    </row>
    <row r="12" spans="1:9">
      <c r="A12" s="1" t="s">
        <v>169</v>
      </c>
      <c r="B12" s="1" t="s">
        <v>176</v>
      </c>
      <c r="C12" s="1" t="s">
        <v>177</v>
      </c>
      <c r="D12" s="1" t="s">
        <v>178</v>
      </c>
    </row>
    <row r="13" spans="1:9">
      <c r="A13" s="1" t="s">
        <v>180</v>
      </c>
      <c r="B13" s="1">
        <v>100</v>
      </c>
      <c r="C13" s="2">
        <v>95</v>
      </c>
      <c r="D13" s="2">
        <v>99</v>
      </c>
    </row>
    <row r="14" spans="1:9">
      <c r="A14" s="1" t="s">
        <v>170</v>
      </c>
      <c r="B14" s="1">
        <v>86</v>
      </c>
      <c r="C14" s="2">
        <v>90</v>
      </c>
      <c r="D14" s="2">
        <v>95</v>
      </c>
    </row>
    <row r="15" spans="1:9">
      <c r="A15" s="1" t="s">
        <v>183</v>
      </c>
      <c r="B15" s="1">
        <v>89</v>
      </c>
      <c r="C15" s="2">
        <v>90</v>
      </c>
      <c r="D15" s="2">
        <v>88</v>
      </c>
    </row>
    <row r="16" spans="1:9">
      <c r="A16" s="1" t="s">
        <v>174</v>
      </c>
      <c r="B16" s="1">
        <v>79</v>
      </c>
      <c r="C16" s="2">
        <v>88</v>
      </c>
      <c r="D16" s="2">
        <v>90</v>
      </c>
    </row>
    <row r="17" spans="1:10">
      <c r="A17" s="1" t="s">
        <v>171</v>
      </c>
      <c r="B17" s="1">
        <v>85</v>
      </c>
      <c r="C17" s="2">
        <v>94</v>
      </c>
      <c r="D17" s="2">
        <v>91</v>
      </c>
      <c r="G17" t="s">
        <v>184</v>
      </c>
    </row>
    <row r="18" spans="1:10">
      <c r="G18" s="1" t="s">
        <v>169</v>
      </c>
      <c r="H18" s="1" t="s">
        <v>176</v>
      </c>
      <c r="I18" s="1" t="s">
        <v>177</v>
      </c>
      <c r="J18" s="1" t="s">
        <v>178</v>
      </c>
    </row>
    <row r="19" spans="1:10">
      <c r="A19" t="s">
        <v>181</v>
      </c>
      <c r="G19" s="1" t="s">
        <v>173</v>
      </c>
      <c r="H19" s="2">
        <v>88</v>
      </c>
      <c r="I19" s="2">
        <v>89</v>
      </c>
      <c r="J19" s="2">
        <v>96</v>
      </c>
    </row>
    <row r="20" spans="1:10">
      <c r="A20" s="1" t="s">
        <v>169</v>
      </c>
      <c r="B20" s="1" t="s">
        <v>176</v>
      </c>
      <c r="C20" s="1" t="s">
        <v>177</v>
      </c>
      <c r="D20" s="1" t="s">
        <v>178</v>
      </c>
      <c r="G20" s="1" t="s">
        <v>170</v>
      </c>
      <c r="H20" s="2">
        <v>90.5</v>
      </c>
      <c r="I20" s="2">
        <v>92</v>
      </c>
      <c r="J20" s="2">
        <v>92.5</v>
      </c>
    </row>
    <row r="21" spans="1:10">
      <c r="A21" s="1" t="s">
        <v>174</v>
      </c>
      <c r="B21" s="1">
        <v>98</v>
      </c>
      <c r="C21" s="2">
        <v>93</v>
      </c>
      <c r="D21" s="2">
        <v>95</v>
      </c>
      <c r="G21" s="1" t="s">
        <v>171</v>
      </c>
      <c r="H21" s="2">
        <v>88.666666666666671</v>
      </c>
      <c r="I21" s="2">
        <v>95</v>
      </c>
      <c r="J21" s="2">
        <v>92</v>
      </c>
    </row>
    <row r="22" spans="1:10">
      <c r="A22" s="1" t="s">
        <v>172</v>
      </c>
      <c r="B22" s="1">
        <v>85</v>
      </c>
      <c r="C22" s="2">
        <v>89</v>
      </c>
      <c r="D22" s="2">
        <v>90</v>
      </c>
      <c r="G22" s="1" t="s">
        <v>172</v>
      </c>
      <c r="H22" s="2">
        <v>89.5</v>
      </c>
      <c r="I22" s="2">
        <v>92.5</v>
      </c>
      <c r="J22" s="2">
        <v>91</v>
      </c>
    </row>
    <row r="23" spans="1:10">
      <c r="A23" s="1" t="s">
        <v>183</v>
      </c>
      <c r="B23" s="1">
        <v>87</v>
      </c>
      <c r="C23" s="2">
        <v>88</v>
      </c>
      <c r="D23" s="2">
        <v>88</v>
      </c>
      <c r="G23" s="1" t="s">
        <v>174</v>
      </c>
      <c r="H23" s="2">
        <v>89.666666666666671</v>
      </c>
      <c r="I23" s="2">
        <v>91.333333333333329</v>
      </c>
      <c r="J23" s="2">
        <v>92</v>
      </c>
    </row>
    <row r="24" spans="1:10">
      <c r="A24" s="1" t="s">
        <v>182</v>
      </c>
      <c r="B24" s="1">
        <v>92</v>
      </c>
      <c r="C24" s="2">
        <v>91</v>
      </c>
      <c r="D24" s="2">
        <v>94</v>
      </c>
      <c r="G24" s="5" t="s">
        <v>182</v>
      </c>
      <c r="H24" s="2">
        <v>96</v>
      </c>
      <c r="I24" s="2">
        <v>93</v>
      </c>
      <c r="J24" s="2">
        <v>96.5</v>
      </c>
    </row>
    <row r="25" spans="1:10">
      <c r="A25" s="1" t="s">
        <v>171</v>
      </c>
      <c r="B25" s="1">
        <v>91</v>
      </c>
      <c r="C25" s="2">
        <v>93</v>
      </c>
      <c r="D25" s="2">
        <v>98</v>
      </c>
      <c r="G25" s="5" t="s">
        <v>183</v>
      </c>
      <c r="H25" s="2">
        <v>88</v>
      </c>
      <c r="I25" s="2">
        <v>89</v>
      </c>
      <c r="J25" s="2">
        <v>88</v>
      </c>
    </row>
  </sheetData>
  <dataConsolidate function="average" leftLabels="1" topLabels="1">
    <dataRefs count="3">
      <dataRef ref="A4:D9" sheet="분석작업-1"/>
      <dataRef ref="A12:D17" sheet="분석작업-1"/>
      <dataRef ref="A20:D25" sheet="분석작업-1"/>
    </dataRefs>
  </dataConsolidate>
  <mergeCells count="1">
    <mergeCell ref="A1:I1"/>
  </mergeCells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B1:F11"/>
  <sheetViews>
    <sheetView showGridLines="0" workbookViewId="0"/>
  </sheetViews>
  <sheetFormatPr defaultRowHeight="13.5" outlineLevelRow="1" outlineLevelCol="1"/>
  <cols>
    <col min="3" max="3" width="9.88671875" bestFit="1" customWidth="1"/>
    <col min="4" max="6" width="10.44140625" bestFit="1" customWidth="1" outlineLevel="1"/>
  </cols>
  <sheetData>
    <row r="1" spans="2:6" ht="14.25" thickBot="1"/>
    <row r="2" spans="2:6">
      <c r="B2" s="49" t="s">
        <v>271</v>
      </c>
      <c r="C2" s="49"/>
      <c r="D2" s="54"/>
      <c r="E2" s="54"/>
      <c r="F2" s="54"/>
    </row>
    <row r="3" spans="2:6" collapsed="1">
      <c r="B3" s="48"/>
      <c r="C3" s="48"/>
      <c r="D3" s="55" t="s">
        <v>273</v>
      </c>
      <c r="E3" s="55" t="s">
        <v>268</v>
      </c>
      <c r="F3" s="55" t="s">
        <v>270</v>
      </c>
    </row>
    <row r="4" spans="2:6" ht="36" hidden="1" outlineLevel="1">
      <c r="B4" s="51"/>
      <c r="C4" s="51"/>
      <c r="D4" s="45"/>
      <c r="E4" s="57" t="s">
        <v>269</v>
      </c>
      <c r="F4" s="57" t="s">
        <v>269</v>
      </c>
    </row>
    <row r="5" spans="2:6">
      <c r="B5" s="52" t="s">
        <v>272</v>
      </c>
      <c r="C5" s="52"/>
      <c r="D5" s="50"/>
      <c r="E5" s="50"/>
      <c r="F5" s="50"/>
    </row>
    <row r="6" spans="2:6" outlineLevel="1">
      <c r="B6" s="51"/>
      <c r="C6" s="51" t="s">
        <v>278</v>
      </c>
      <c r="D6" s="46">
        <v>0.25</v>
      </c>
      <c r="E6" s="56">
        <v>0.3</v>
      </c>
      <c r="F6" s="56">
        <v>0.2</v>
      </c>
    </row>
    <row r="7" spans="2:6">
      <c r="B7" s="52" t="s">
        <v>274</v>
      </c>
      <c r="C7" s="52"/>
      <c r="D7" s="50"/>
      <c r="E7" s="50"/>
      <c r="F7" s="50"/>
    </row>
    <row r="8" spans="2:6" ht="14.25" outlineLevel="1" thickBot="1">
      <c r="B8" s="53"/>
      <c r="C8" s="53" t="s">
        <v>267</v>
      </c>
      <c r="D8" s="47">
        <v>10880</v>
      </c>
      <c r="E8" s="47">
        <v>13056</v>
      </c>
      <c r="F8" s="47">
        <v>8704</v>
      </c>
    </row>
    <row r="9" spans="2:6">
      <c r="B9" t="s">
        <v>275</v>
      </c>
    </row>
    <row r="10" spans="2:6">
      <c r="B10" t="s">
        <v>276</v>
      </c>
    </row>
    <row r="11" spans="2:6">
      <c r="B11" t="s">
        <v>277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B1:H17"/>
  <sheetViews>
    <sheetView workbookViewId="0"/>
  </sheetViews>
  <sheetFormatPr defaultRowHeight="13.5"/>
  <cols>
    <col min="1" max="1" width="2.5546875" customWidth="1"/>
    <col min="2" max="2" width="3.88671875" customWidth="1"/>
    <col min="8" max="8" width="9.88671875" bestFit="1" customWidth="1"/>
  </cols>
  <sheetData>
    <row r="1" spans="2:8" ht="18.75">
      <c r="B1" s="67" t="s">
        <v>44</v>
      </c>
      <c r="C1" s="67"/>
      <c r="D1" s="67"/>
      <c r="E1" s="67"/>
      <c r="F1" s="67"/>
      <c r="G1" s="67"/>
      <c r="H1" s="67"/>
    </row>
    <row r="2" spans="2:8">
      <c r="H2" t="s">
        <v>45</v>
      </c>
    </row>
    <row r="3" spans="2:8">
      <c r="B3" s="72" t="s">
        <v>33</v>
      </c>
      <c r="C3" s="72"/>
      <c r="D3" s="68" t="s">
        <v>32</v>
      </c>
      <c r="E3" s="68"/>
      <c r="F3" s="68"/>
      <c r="G3" s="72" t="s">
        <v>34</v>
      </c>
      <c r="H3" s="72" t="s">
        <v>36</v>
      </c>
    </row>
    <row r="4" spans="2:8">
      <c r="B4" s="72"/>
      <c r="C4" s="72"/>
      <c r="D4" s="1" t="s">
        <v>46</v>
      </c>
      <c r="E4" s="1" t="s">
        <v>47</v>
      </c>
      <c r="F4" s="1" t="s">
        <v>35</v>
      </c>
      <c r="G4" s="72"/>
      <c r="H4" s="72"/>
    </row>
    <row r="5" spans="2:8">
      <c r="B5" s="69" t="s">
        <v>48</v>
      </c>
      <c r="C5" s="2" t="s">
        <v>39</v>
      </c>
      <c r="D5" s="11">
        <v>3000</v>
      </c>
      <c r="E5" s="11">
        <v>3200</v>
      </c>
      <c r="F5" s="11">
        <f t="shared" ref="F5:F15" si="0">SUM(D5:E5)</f>
        <v>6200</v>
      </c>
      <c r="G5" s="11">
        <v>6400</v>
      </c>
      <c r="H5" s="11">
        <f t="shared" ref="H5:H15" si="1">F5*순이익율</f>
        <v>1550</v>
      </c>
    </row>
    <row r="6" spans="2:8">
      <c r="B6" s="69"/>
      <c r="C6" s="2" t="s">
        <v>37</v>
      </c>
      <c r="D6" s="11">
        <v>2000</v>
      </c>
      <c r="E6" s="11">
        <v>3400</v>
      </c>
      <c r="F6" s="11">
        <f t="shared" si="0"/>
        <v>5400</v>
      </c>
      <c r="G6" s="11">
        <v>5500</v>
      </c>
      <c r="H6" s="11">
        <f t="shared" si="1"/>
        <v>1350</v>
      </c>
    </row>
    <row r="7" spans="2:8">
      <c r="B7" s="69"/>
      <c r="C7" s="2" t="s">
        <v>38</v>
      </c>
      <c r="D7" s="11">
        <v>2000</v>
      </c>
      <c r="E7" s="11">
        <v>3400</v>
      </c>
      <c r="F7" s="11">
        <f t="shared" si="0"/>
        <v>5400</v>
      </c>
      <c r="G7" s="11">
        <v>3000</v>
      </c>
      <c r="H7" s="11">
        <f t="shared" si="1"/>
        <v>1350</v>
      </c>
    </row>
    <row r="8" spans="2:8">
      <c r="B8" s="69"/>
      <c r="C8" s="2" t="s">
        <v>49</v>
      </c>
      <c r="D8" s="11">
        <v>3800</v>
      </c>
      <c r="E8" s="11">
        <v>2000</v>
      </c>
      <c r="F8" s="11">
        <f t="shared" si="0"/>
        <v>5800</v>
      </c>
      <c r="G8" s="11">
        <v>6500</v>
      </c>
      <c r="H8" s="11">
        <f t="shared" si="1"/>
        <v>1450</v>
      </c>
    </row>
    <row r="9" spans="2:8">
      <c r="B9" s="69"/>
      <c r="C9" s="2" t="s">
        <v>41</v>
      </c>
      <c r="D9" s="11">
        <v>1200</v>
      </c>
      <c r="E9" s="11">
        <v>3800</v>
      </c>
      <c r="F9" s="11">
        <f t="shared" si="0"/>
        <v>5000</v>
      </c>
      <c r="G9" s="11">
        <v>4500</v>
      </c>
      <c r="H9" s="11">
        <f t="shared" si="1"/>
        <v>1250</v>
      </c>
    </row>
    <row r="10" spans="2:8">
      <c r="B10" s="69"/>
      <c r="C10" s="2" t="s">
        <v>40</v>
      </c>
      <c r="D10" s="11">
        <v>900</v>
      </c>
      <c r="E10" s="11">
        <v>1500</v>
      </c>
      <c r="F10" s="11">
        <f t="shared" si="0"/>
        <v>2400</v>
      </c>
      <c r="G10" s="11">
        <v>3500</v>
      </c>
      <c r="H10" s="11">
        <f t="shared" si="1"/>
        <v>600</v>
      </c>
    </row>
    <row r="11" spans="2:8">
      <c r="B11" s="69" t="s">
        <v>50</v>
      </c>
      <c r="C11" s="2" t="s">
        <v>51</v>
      </c>
      <c r="D11" s="11">
        <v>3200</v>
      </c>
      <c r="E11" s="11">
        <v>3000</v>
      </c>
      <c r="F11" s="11">
        <f t="shared" si="0"/>
        <v>6200</v>
      </c>
      <c r="G11" s="11">
        <v>5800</v>
      </c>
      <c r="H11" s="11">
        <f t="shared" si="1"/>
        <v>1550</v>
      </c>
    </row>
    <row r="12" spans="2:8">
      <c r="B12" s="69"/>
      <c r="C12" s="2" t="s">
        <v>42</v>
      </c>
      <c r="D12" s="11">
        <v>1000</v>
      </c>
      <c r="E12" s="11">
        <v>1500</v>
      </c>
      <c r="F12" s="11">
        <f t="shared" si="0"/>
        <v>2500</v>
      </c>
      <c r="G12" s="11">
        <v>2200</v>
      </c>
      <c r="H12" s="11">
        <f t="shared" si="1"/>
        <v>625</v>
      </c>
    </row>
    <row r="13" spans="2:8">
      <c r="B13" s="69"/>
      <c r="C13" s="2" t="s">
        <v>52</v>
      </c>
      <c r="D13" s="11">
        <v>560</v>
      </c>
      <c r="E13" s="11">
        <v>460</v>
      </c>
      <c r="F13" s="11">
        <f t="shared" si="0"/>
        <v>1020</v>
      </c>
      <c r="G13" s="11">
        <v>1200</v>
      </c>
      <c r="H13" s="11">
        <f t="shared" si="1"/>
        <v>255</v>
      </c>
    </row>
    <row r="14" spans="2:8">
      <c r="B14" s="69"/>
      <c r="C14" s="2" t="s">
        <v>43</v>
      </c>
      <c r="D14" s="11">
        <v>1200</v>
      </c>
      <c r="E14" s="11">
        <v>2400</v>
      </c>
      <c r="F14" s="11">
        <f t="shared" si="0"/>
        <v>3600</v>
      </c>
      <c r="G14" s="11">
        <v>3500</v>
      </c>
      <c r="H14" s="11">
        <f t="shared" si="1"/>
        <v>900</v>
      </c>
    </row>
    <row r="15" spans="2:8">
      <c r="B15" s="68" t="s">
        <v>35</v>
      </c>
      <c r="C15" s="68"/>
      <c r="D15" s="11">
        <f>SUM(D5:D14)</f>
        <v>18860</v>
      </c>
      <c r="E15" s="11">
        <f>SUM(E5:E14)</f>
        <v>24660</v>
      </c>
      <c r="F15" s="11">
        <f t="shared" si="0"/>
        <v>43520</v>
      </c>
      <c r="G15" s="11">
        <f>SUM(G5:G14)</f>
        <v>42100</v>
      </c>
      <c r="H15" s="11">
        <f t="shared" si="1"/>
        <v>10880</v>
      </c>
    </row>
    <row r="17" spans="6:8">
      <c r="F17" s="70" t="s">
        <v>53</v>
      </c>
      <c r="G17" s="71"/>
      <c r="H17" s="16">
        <v>0.25</v>
      </c>
    </row>
  </sheetData>
  <scenarios current="1" sqref="H15">
    <scenario name="순이익 인상" locked="1" count="1" user="김종일" comment="만든 사람 김종일 날짜 2010-07-06">
      <inputCells r="H17" val="0.3" numFmtId="9"/>
    </scenario>
    <scenario name="순이익 인하" locked="1" count="1" user="김종일" comment="만든 사람 김종일 날짜 2010-07-06">
      <inputCells r="H17" val="0.2" numFmtId="9"/>
    </scenario>
  </scenarios>
  <mergeCells count="9">
    <mergeCell ref="B1:H1"/>
    <mergeCell ref="D3:F3"/>
    <mergeCell ref="B5:B10"/>
    <mergeCell ref="B11:B14"/>
    <mergeCell ref="F17:G17"/>
    <mergeCell ref="B3:C4"/>
    <mergeCell ref="G3:G4"/>
    <mergeCell ref="H3:H4"/>
    <mergeCell ref="B15:C15"/>
  </mergeCells>
  <phoneticPr fontId="2" type="noConversion"/>
  <pageMargins left="0.75" right="0.75" top="1" bottom="1" header="0.5" footer="0.5"/>
  <headerFooter alignWithMargins="0"/>
  <ignoredErrors>
    <ignoredError sqref="F15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G12"/>
  <sheetViews>
    <sheetView workbookViewId="0"/>
  </sheetViews>
  <sheetFormatPr defaultRowHeight="13.5"/>
  <cols>
    <col min="1" max="1" width="12" customWidth="1"/>
    <col min="2" max="2" width="10.44140625" bestFit="1" customWidth="1"/>
    <col min="3" max="3" width="8.21875" bestFit="1" customWidth="1"/>
    <col min="4" max="4" width="14.33203125" bestFit="1" customWidth="1"/>
    <col min="5" max="5" width="13.33203125" bestFit="1" customWidth="1"/>
    <col min="6" max="6" width="14.33203125" bestFit="1" customWidth="1"/>
    <col min="7" max="7" width="13.33203125" bestFit="1" customWidth="1"/>
    <col min="8" max="8" width="3.77734375" customWidth="1"/>
  </cols>
  <sheetData>
    <row r="1" spans="1:7">
      <c r="A1" t="s">
        <v>202</v>
      </c>
    </row>
    <row r="3" spans="1:7">
      <c r="A3" s="59" t="s">
        <v>279</v>
      </c>
      <c r="B3" s="59" t="s">
        <v>280</v>
      </c>
      <c r="C3" s="59" t="s">
        <v>281</v>
      </c>
      <c r="D3" s="59" t="s">
        <v>282</v>
      </c>
      <c r="E3" s="59" t="s">
        <v>283</v>
      </c>
      <c r="F3" s="59" t="s">
        <v>284</v>
      </c>
      <c r="G3" s="59" t="s">
        <v>285</v>
      </c>
    </row>
    <row r="4" spans="1:7">
      <c r="A4" s="2" t="s">
        <v>203</v>
      </c>
      <c r="B4" s="2" t="s">
        <v>204</v>
      </c>
      <c r="C4" s="2">
        <v>129</v>
      </c>
      <c r="D4" s="17">
        <v>2400000</v>
      </c>
      <c r="E4" s="17">
        <v>2800000</v>
      </c>
      <c r="F4" s="17">
        <v>1500000</v>
      </c>
      <c r="G4" s="58">
        <f>SUM(D4:F4)</f>
        <v>6700000</v>
      </c>
    </row>
    <row r="5" spans="1:7">
      <c r="A5" s="2" t="s">
        <v>205</v>
      </c>
      <c r="B5" s="2" t="s">
        <v>206</v>
      </c>
      <c r="C5" s="2">
        <v>150</v>
      </c>
      <c r="D5" s="17">
        <v>3200000</v>
      </c>
      <c r="E5" s="17">
        <v>3500000</v>
      </c>
      <c r="F5" s="17">
        <v>2000000</v>
      </c>
      <c r="G5" s="58">
        <f t="shared" ref="G5:G12" si="0">SUM(D5:F5)</f>
        <v>8700000</v>
      </c>
    </row>
    <row r="6" spans="1:7">
      <c r="A6" s="2" t="s">
        <v>207</v>
      </c>
      <c r="B6" s="2" t="s">
        <v>208</v>
      </c>
      <c r="C6" s="2">
        <v>98</v>
      </c>
      <c r="D6" s="17">
        <v>2000000</v>
      </c>
      <c r="E6" s="17">
        <v>1750000</v>
      </c>
      <c r="F6" s="17">
        <v>1250000</v>
      </c>
      <c r="G6" s="58">
        <f t="shared" si="0"/>
        <v>5000000</v>
      </c>
    </row>
    <row r="7" spans="1:7">
      <c r="A7" s="2" t="s">
        <v>209</v>
      </c>
      <c r="B7" s="2" t="s">
        <v>210</v>
      </c>
      <c r="C7" s="2">
        <v>132</v>
      </c>
      <c r="D7" s="17">
        <v>2480000</v>
      </c>
      <c r="E7" s="17">
        <v>2870000</v>
      </c>
      <c r="F7" s="17">
        <v>1550000</v>
      </c>
      <c r="G7" s="58">
        <f t="shared" si="0"/>
        <v>6900000</v>
      </c>
    </row>
    <row r="8" spans="1:7">
      <c r="A8" s="2" t="s">
        <v>211</v>
      </c>
      <c r="B8" s="2" t="s">
        <v>212</v>
      </c>
      <c r="C8" s="2">
        <v>89</v>
      </c>
      <c r="D8" s="17">
        <v>1680000</v>
      </c>
      <c r="E8" s="17">
        <v>1820000</v>
      </c>
      <c r="F8" s="17">
        <v>1300000</v>
      </c>
      <c r="G8" s="58">
        <f t="shared" si="0"/>
        <v>4800000</v>
      </c>
    </row>
    <row r="9" spans="1:7">
      <c r="A9" s="2" t="s">
        <v>213</v>
      </c>
      <c r="B9" s="2" t="s">
        <v>214</v>
      </c>
      <c r="C9" s="2">
        <v>105</v>
      </c>
      <c r="D9" s="17">
        <v>2320000</v>
      </c>
      <c r="E9" s="17">
        <v>2730000</v>
      </c>
      <c r="F9" s="17">
        <v>1450000</v>
      </c>
      <c r="G9" s="58">
        <f t="shared" si="0"/>
        <v>6500000</v>
      </c>
    </row>
    <row r="10" spans="1:7">
      <c r="A10" s="2" t="s">
        <v>215</v>
      </c>
      <c r="B10" s="2" t="s">
        <v>216</v>
      </c>
      <c r="C10" s="2">
        <v>78</v>
      </c>
      <c r="D10" s="17">
        <v>1600000</v>
      </c>
      <c r="E10" s="17">
        <v>1470000</v>
      </c>
      <c r="F10" s="17">
        <v>1000000</v>
      </c>
      <c r="G10" s="58">
        <f t="shared" si="0"/>
        <v>4070000</v>
      </c>
    </row>
    <row r="11" spans="1:7">
      <c r="A11" s="2" t="s">
        <v>217</v>
      </c>
      <c r="B11" s="2" t="s">
        <v>218</v>
      </c>
      <c r="C11" s="2">
        <v>136</v>
      </c>
      <c r="D11" s="17">
        <v>3120000</v>
      </c>
      <c r="E11" s="17">
        <v>3430000</v>
      </c>
      <c r="F11" s="17">
        <v>1950000</v>
      </c>
      <c r="G11" s="58">
        <f t="shared" si="0"/>
        <v>8500000</v>
      </c>
    </row>
    <row r="12" spans="1:7">
      <c r="A12" s="2" t="s">
        <v>219</v>
      </c>
      <c r="B12" s="2" t="s">
        <v>220</v>
      </c>
      <c r="C12" s="2">
        <v>82</v>
      </c>
      <c r="D12" s="17">
        <v>1600000</v>
      </c>
      <c r="E12" s="17">
        <v>1750000</v>
      </c>
      <c r="F12" s="17">
        <v>1250000</v>
      </c>
      <c r="G12" s="58">
        <f t="shared" si="0"/>
        <v>4600000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G10"/>
  <sheetViews>
    <sheetView workbookViewId="0"/>
  </sheetViews>
  <sheetFormatPr defaultRowHeight="13.5"/>
  <cols>
    <col min="1" max="1" width="12" customWidth="1"/>
    <col min="2" max="2" width="10.44140625" bestFit="1" customWidth="1"/>
    <col min="3" max="3" width="8.21875" bestFit="1" customWidth="1"/>
    <col min="4" max="7" width="13.33203125" bestFit="1" customWidth="1"/>
    <col min="8" max="8" width="3.33203125" customWidth="1"/>
  </cols>
  <sheetData>
    <row r="1" spans="1:7">
      <c r="A1" t="s">
        <v>201</v>
      </c>
    </row>
    <row r="3" spans="1:7">
      <c r="A3" s="2" t="s">
        <v>185</v>
      </c>
      <c r="B3" s="2" t="s">
        <v>186</v>
      </c>
      <c r="C3" s="2" t="s">
        <v>187</v>
      </c>
      <c r="D3" s="2" t="s">
        <v>188</v>
      </c>
      <c r="E3" s="2" t="s">
        <v>189</v>
      </c>
      <c r="F3" s="2" t="s">
        <v>190</v>
      </c>
      <c r="G3" s="2" t="s">
        <v>191</v>
      </c>
    </row>
    <row r="4" spans="1:7">
      <c r="A4" s="2" t="s">
        <v>192</v>
      </c>
      <c r="B4" s="2" t="s">
        <v>193</v>
      </c>
      <c r="C4" s="2">
        <v>2</v>
      </c>
      <c r="D4" s="2">
        <v>2000000</v>
      </c>
      <c r="E4" s="2">
        <v>210000</v>
      </c>
      <c r="F4" s="2">
        <v>660000</v>
      </c>
      <c r="G4" s="2">
        <v>380000</v>
      </c>
    </row>
    <row r="5" spans="1:7">
      <c r="A5" s="2" t="s">
        <v>194</v>
      </c>
      <c r="B5" s="2" t="s">
        <v>195</v>
      </c>
      <c r="C5" s="2">
        <v>5</v>
      </c>
      <c r="D5" s="2">
        <v>4200000</v>
      </c>
      <c r="E5" s="2">
        <v>630000</v>
      </c>
      <c r="F5" s="2">
        <v>1200000</v>
      </c>
      <c r="G5" s="2">
        <v>800000</v>
      </c>
    </row>
    <row r="6" spans="1:7">
      <c r="A6" s="2" t="s">
        <v>196</v>
      </c>
      <c r="B6" s="2" t="s">
        <v>193</v>
      </c>
      <c r="C6" s="2">
        <v>4</v>
      </c>
      <c r="D6" s="2">
        <v>3500000</v>
      </c>
      <c r="E6" s="2">
        <v>400000</v>
      </c>
      <c r="F6" s="2">
        <v>1000000</v>
      </c>
      <c r="G6" s="2">
        <v>620000</v>
      </c>
    </row>
    <row r="7" spans="1:7">
      <c r="A7" s="2" t="s">
        <v>197</v>
      </c>
      <c r="B7" s="2" t="s">
        <v>195</v>
      </c>
      <c r="C7" s="2">
        <v>3</v>
      </c>
      <c r="D7" s="2">
        <v>3000000</v>
      </c>
      <c r="E7" s="2">
        <v>370000</v>
      </c>
      <c r="F7" s="2">
        <v>850000</v>
      </c>
      <c r="G7" s="2">
        <v>550000</v>
      </c>
    </row>
    <row r="8" spans="1:7">
      <c r="A8" s="2" t="s">
        <v>198</v>
      </c>
      <c r="B8" s="2" t="s">
        <v>193</v>
      </c>
      <c r="C8" s="2">
        <v>5</v>
      </c>
      <c r="D8" s="2">
        <v>5500000</v>
      </c>
      <c r="E8" s="2">
        <v>800000</v>
      </c>
      <c r="F8" s="2">
        <v>1500000</v>
      </c>
      <c r="G8" s="2">
        <v>1100000</v>
      </c>
    </row>
    <row r="9" spans="1:7">
      <c r="A9" s="2" t="s">
        <v>199</v>
      </c>
      <c r="B9" s="2" t="s">
        <v>195</v>
      </c>
      <c r="C9" s="2">
        <v>1</v>
      </c>
      <c r="D9" s="2">
        <v>1500000</v>
      </c>
      <c r="E9" s="2">
        <v>500000</v>
      </c>
      <c r="F9" s="2">
        <v>300000</v>
      </c>
      <c r="G9" s="2">
        <v>200000</v>
      </c>
    </row>
    <row r="10" spans="1:7">
      <c r="A10" s="2" t="s">
        <v>200</v>
      </c>
      <c r="B10" s="2" t="s">
        <v>195</v>
      </c>
      <c r="C10" s="2">
        <v>2</v>
      </c>
      <c r="D10" s="2">
        <v>2500000</v>
      </c>
      <c r="E10" s="2">
        <v>240000</v>
      </c>
      <c r="F10" s="2">
        <v>700000</v>
      </c>
      <c r="G10" s="2">
        <v>400000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'기본작업-3'!대출현황</vt:lpstr>
      <vt:lpstr>순이익율</vt:lpstr>
      <vt:lpstr>순이익합계</vt:lpstr>
      <vt:lpstr>'기본작업-3'!자동판매기</vt:lpstr>
      <vt:lpstr>학생이름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류장경</dc:creator>
  <cp:lastModifiedBy>김용갑</cp:lastModifiedBy>
  <cp:lastPrinted>2004-01-08T00:54:45Z</cp:lastPrinted>
  <dcterms:created xsi:type="dcterms:W3CDTF">2001-07-07T00:28:49Z</dcterms:created>
  <dcterms:modified xsi:type="dcterms:W3CDTF">2010-08-31T04:16:49Z</dcterms:modified>
</cp:coreProperties>
</file>