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 defaultThemeVersion="124226"/>
  <bookViews>
    <workbookView xWindow="345" yWindow="-75" windowWidth="16560" windowHeight="1024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MS_Access_Database_Query" localSheetId="2">'기본작업-3'!$A$3:$G$11</definedName>
    <definedName name="MS_Access_Database_Query_3" localSheetId="4">'분석작업-1'!$C$2:$D$15</definedName>
    <definedName name="MS_Access_Database_Query_4" localSheetId="4">'분석작업-1'!$A$2:$F$17</definedName>
  </definedNames>
  <calcPr calcId="145621"/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11" i="6"/>
  <c r="F12" i="6"/>
  <c r="F13" i="6"/>
  <c r="F14" i="6"/>
  <c r="F4" i="6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3" i="5"/>
  <c r="F3" i="5"/>
  <c r="E27" i="4"/>
  <c r="E28" i="4"/>
  <c r="E29" i="4"/>
  <c r="E30" i="4"/>
  <c r="E31" i="4"/>
  <c r="E32" i="4"/>
  <c r="E33" i="4"/>
  <c r="E26" i="4"/>
  <c r="K14" i="4"/>
  <c r="K20" i="4"/>
  <c r="K22" i="4"/>
  <c r="K15" i="4"/>
  <c r="K16" i="4"/>
  <c r="K17" i="4"/>
  <c r="K18" i="4"/>
  <c r="K19" i="4"/>
  <c r="K21" i="4"/>
  <c r="D15" i="4"/>
  <c r="D16" i="4"/>
  <c r="D17" i="4"/>
  <c r="D18" i="4"/>
  <c r="D14" i="4"/>
  <c r="F5" i="3"/>
  <c r="G5" i="3" s="1"/>
  <c r="F6" i="3"/>
  <c r="G6" i="3"/>
  <c r="F7" i="3"/>
  <c r="G7" i="3"/>
  <c r="F8" i="3"/>
  <c r="G8" i="3"/>
  <c r="F9" i="3"/>
  <c r="G9" i="3"/>
  <c r="F10" i="3"/>
  <c r="G10" i="3"/>
  <c r="F11" i="3"/>
  <c r="G11" i="3"/>
  <c r="F4" i="3"/>
  <c r="G4" i="3"/>
</calcChain>
</file>

<file path=xl/connections.xml><?xml version="1.0" encoding="utf-8"?>
<connections xmlns="http://schemas.openxmlformats.org/spreadsheetml/2006/main">
  <connection id="1" name="연결" type="1" refreshedVersion="0" savePassword="1" background="1" saveData="1">
    <dbPr connection="DSN=MS Access Database;DBQ=C:\WINDOWS\바탕 화면\실력올리기-예제\Excel\예제3.mdb;DefaultDir=C:\WINDOWS\바탕 화면\실력올리기-예제\Excel\예제3.mdb;DriverId=25;FIL=MS Access;MaxBufferSize=2048;PageTimeout=5;" command="SELECT 예제3.`판매 대상`, 예제3.도서명, 예제3.도서단가, 예제3.수량, 예제3.할인율, 예제3.판매금액, 예제3.실공급액_x000d__x000a_FROM 예제3 예제3_x000d__x000a_WHERE (예제3.`판매 대상`&lt;&gt;'단체') AND (예제3.판매금액&gt;=100000)_x000d__x000a_ORDER BY 예제3.`판매 대상`, 예제3.판매금액 DESC, 예제3.실공급액 DESC"/>
  </connection>
  <connection id="2" name="연결1" type="1" refreshedVersion="0" savePassword="1" background="1" saveData="1">
    <dbPr connection="DSN=MS Access Database;DBQ=D:\상공회의소\영진1급\스프레드시트\답안작성용파일\사원관리.mdb;DefaultDir=D:\상공회의소\영진1급\스프레드시트\답안작성용파일;DriverId=25;FIL=MS Access;MaxBufferSize=2048;PageTimeout=5;" command="SELECT 사원현황.부서코드, 사원현황.부서, 사원현황.성명, 사원현황.성별, 사원현황.기본급, 사원현황.수당_x000d__x000a_FROM `D:\상공회의소\영진1급\스프레드시트\답안작성용파일\사원관리`.사원현황 사원현황"/>
  </connection>
  <connection id="3" name="연결2" type="1" refreshedVersion="0" savePassword="1" background="1" saveData="1">
    <dbPr connection="DSN=MS Access Database;DBQ=D:\상공회의소\영진1급\스프레드시트\답안작성용파일\사원관리.mdb;DefaultDir=D:\상공회의소\영진1급\스프레드시트\답안작성용파일;DriverId=25;FIL=MS Access;MaxBufferSize=2048;PageTimeout=5;" command="SELECT 사원현황.부서코드, 사원현황.부서, 사원현황.성명, 사원현황.성별, 사원현황.기본급, 사원현황.수당_x000d__x000a_FROM `D:\상공회의소\영진1급\스프레드시트\답안작성용파일\사원관리`.사원현황 사원현황"/>
  </connection>
</connections>
</file>

<file path=xl/sharedStrings.xml><?xml version="1.0" encoding="utf-8"?>
<sst xmlns="http://schemas.openxmlformats.org/spreadsheetml/2006/main" count="272" uniqueCount="218">
  <si>
    <t>담당자</t>
  </si>
  <si>
    <t>일자</t>
  </si>
  <si>
    <t>판매 대상</t>
  </si>
  <si>
    <t>도서명</t>
  </si>
  <si>
    <t>도서단가</t>
  </si>
  <si>
    <t>수량</t>
  </si>
  <si>
    <t>할인율</t>
  </si>
  <si>
    <t>판매금액</t>
  </si>
  <si>
    <t>실공급액</t>
  </si>
  <si>
    <t>학교</t>
  </si>
  <si>
    <t>거래처명</t>
  </si>
  <si>
    <t>제품명</t>
  </si>
  <si>
    <t>단가</t>
  </si>
  <si>
    <t>공급가액</t>
  </si>
  <si>
    <t>세액</t>
  </si>
  <si>
    <t>모니터</t>
  </si>
  <si>
    <t>학번</t>
  </si>
  <si>
    <t>중간</t>
  </si>
  <si>
    <t>기말</t>
  </si>
  <si>
    <t>최종점수</t>
  </si>
  <si>
    <t>평가</t>
  </si>
  <si>
    <t>매출액</t>
  </si>
  <si>
    <t>대한 중고센터 품목 현황</t>
    <phoneticPr fontId="2" type="noConversion"/>
  </si>
  <si>
    <t>도서 판매 내역</t>
    <phoneticPr fontId="2" type="noConversion"/>
  </si>
  <si>
    <t>학교</t>
    <phoneticPr fontId="2" type="noConversion"/>
  </si>
  <si>
    <t>플래시 MX 고급활용</t>
    <phoneticPr fontId="2" type="noConversion"/>
  </si>
  <si>
    <t>개인</t>
    <phoneticPr fontId="2" type="noConversion"/>
  </si>
  <si>
    <t>스위시 II</t>
    <phoneticPr fontId="2" type="noConversion"/>
  </si>
  <si>
    <t>서점</t>
    <phoneticPr fontId="2" type="noConversion"/>
  </si>
  <si>
    <t>네트워크 구축</t>
    <phoneticPr fontId="2" type="noConversion"/>
  </si>
  <si>
    <t>컴퓨터 엔지니어링</t>
    <phoneticPr fontId="2" type="noConversion"/>
  </si>
  <si>
    <t>자바 스크립트</t>
    <phoneticPr fontId="2" type="noConversion"/>
  </si>
  <si>
    <t>학원</t>
    <phoneticPr fontId="2" type="noConversion"/>
  </si>
  <si>
    <t>Visual Basic.NET</t>
    <phoneticPr fontId="2" type="noConversion"/>
  </si>
  <si>
    <t>웹마스터</t>
    <phoneticPr fontId="2" type="noConversion"/>
  </si>
  <si>
    <t>드림위버 MX</t>
    <phoneticPr fontId="2" type="noConversion"/>
  </si>
  <si>
    <t>성명</t>
    <phoneticPr fontId="2" type="noConversion"/>
  </si>
  <si>
    <r>
      <t>[표3</t>
    </r>
    <r>
      <rPr>
        <sz val="11"/>
        <rFont val="돋움"/>
        <family val="3"/>
        <charset val="129"/>
      </rPr>
      <t>]</t>
    </r>
    <phoneticPr fontId="2" type="noConversion"/>
  </si>
  <si>
    <t>상공 문구 판매 현황</t>
    <phoneticPr fontId="2" type="noConversion"/>
  </si>
  <si>
    <t>제품명</t>
    <phoneticPr fontId="2" type="noConversion"/>
  </si>
  <si>
    <t xml:space="preserve">판매가격 </t>
    <phoneticPr fontId="2" type="noConversion"/>
  </si>
  <si>
    <t>판매수량</t>
    <phoneticPr fontId="2" type="noConversion"/>
  </si>
  <si>
    <t>다이어리</t>
    <phoneticPr fontId="2" type="noConversion"/>
  </si>
  <si>
    <t>김인철</t>
    <phoneticPr fontId="2" type="noConversion"/>
  </si>
  <si>
    <t>수첩</t>
    <phoneticPr fontId="2" type="noConversion"/>
  </si>
  <si>
    <t>오인영</t>
    <phoneticPr fontId="2" type="noConversion"/>
  </si>
  <si>
    <t xml:space="preserve"> 교육학 성적 평가</t>
    <phoneticPr fontId="2" type="noConversion"/>
  </si>
  <si>
    <t>성명</t>
    <phoneticPr fontId="2" type="noConversion"/>
  </si>
  <si>
    <t xml:space="preserve">[표1] </t>
    <phoneticPr fontId="2" type="noConversion"/>
  </si>
  <si>
    <r>
      <t>[표2</t>
    </r>
    <r>
      <rPr>
        <sz val="11"/>
        <rFont val="돋움"/>
        <family val="3"/>
        <charset val="129"/>
      </rPr>
      <t>]</t>
    </r>
    <phoneticPr fontId="2" type="noConversion"/>
  </si>
  <si>
    <t>근무년수</t>
    <phoneticPr fontId="2" type="noConversion"/>
  </si>
  <si>
    <t>이보람</t>
    <phoneticPr fontId="2" type="noConversion"/>
  </si>
  <si>
    <t>정태훈</t>
    <phoneticPr fontId="2" type="noConversion"/>
  </si>
  <si>
    <t>오정철</t>
    <phoneticPr fontId="2" type="noConversion"/>
  </si>
  <si>
    <t>구정인</t>
    <phoneticPr fontId="2" type="noConversion"/>
  </si>
  <si>
    <t>임우택</t>
    <phoneticPr fontId="2" type="noConversion"/>
  </si>
  <si>
    <t>신성우</t>
    <phoneticPr fontId="2" type="noConversion"/>
  </si>
  <si>
    <t>하나영</t>
    <phoneticPr fontId="2" type="noConversion"/>
  </si>
  <si>
    <t>박철우</t>
    <phoneticPr fontId="2" type="noConversion"/>
  </si>
  <si>
    <t>류인태</t>
    <phoneticPr fontId="2" type="noConversion"/>
  </si>
  <si>
    <t>명함꽂이</t>
    <phoneticPr fontId="2" type="noConversion"/>
  </si>
  <si>
    <t>조인혜</t>
    <phoneticPr fontId="2" type="noConversion"/>
  </si>
  <si>
    <t>딱풀</t>
    <phoneticPr fontId="2" type="noConversion"/>
  </si>
  <si>
    <t>차영국</t>
    <phoneticPr fontId="2" type="noConversion"/>
  </si>
  <si>
    <t>붓</t>
    <phoneticPr fontId="2" type="noConversion"/>
  </si>
  <si>
    <t>고태평</t>
    <phoneticPr fontId="2" type="noConversion"/>
  </si>
  <si>
    <t>진만철</t>
    <phoneticPr fontId="2" type="noConversion"/>
  </si>
  <si>
    <t>할인율표</t>
    <phoneticPr fontId="2" type="noConversion"/>
  </si>
  <si>
    <t>유인애</t>
    <phoneticPr fontId="2" type="noConversion"/>
  </si>
  <si>
    <t>판매수량</t>
    <phoneticPr fontId="2" type="noConversion"/>
  </si>
  <si>
    <t>임나영</t>
    <phoneticPr fontId="2" type="noConversion"/>
  </si>
  <si>
    <t>할인율</t>
    <phoneticPr fontId="2" type="noConversion"/>
  </si>
  <si>
    <t>등급</t>
    <phoneticPr fontId="2" type="noConversion"/>
  </si>
  <si>
    <t>이대로</t>
    <phoneticPr fontId="2" type="noConversion"/>
  </si>
  <si>
    <t>한삼인</t>
    <phoneticPr fontId="2" type="noConversion"/>
  </si>
  <si>
    <t>부서명</t>
    <phoneticPr fontId="2" type="noConversion"/>
  </si>
  <si>
    <t>영업부</t>
    <phoneticPr fontId="2" type="noConversion"/>
  </si>
  <si>
    <t>경리부</t>
    <phoneticPr fontId="2" type="noConversion"/>
  </si>
  <si>
    <t>총무부</t>
    <phoneticPr fontId="2" type="noConversion"/>
  </si>
  <si>
    <t>사원별 현황</t>
    <phoneticPr fontId="2" type="noConversion"/>
  </si>
  <si>
    <t>주민등록번호</t>
    <phoneticPr fontId="2" type="noConversion"/>
  </si>
  <si>
    <t>성별</t>
    <phoneticPr fontId="2" type="noConversion"/>
  </si>
  <si>
    <t>함하영</t>
    <phoneticPr fontId="2" type="noConversion"/>
  </si>
  <si>
    <t>나소인</t>
    <phoneticPr fontId="2" type="noConversion"/>
  </si>
  <si>
    <t>이지함</t>
    <phoneticPr fontId="2" type="noConversion"/>
  </si>
  <si>
    <t>김예윤</t>
    <phoneticPr fontId="2" type="noConversion"/>
  </si>
  <si>
    <r>
      <t>학원 수강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현황</t>
    </r>
    <phoneticPr fontId="2" type="noConversion"/>
  </si>
  <si>
    <t>과목</t>
    <phoneticPr fontId="2" type="noConversion"/>
  </si>
  <si>
    <t>영어</t>
    <phoneticPr fontId="2" type="noConversion"/>
  </si>
  <si>
    <t>국어</t>
    <phoneticPr fontId="2" type="noConversion"/>
  </si>
  <si>
    <t>수학</t>
    <phoneticPr fontId="2" type="noConversion"/>
  </si>
  <si>
    <t>국어</t>
    <phoneticPr fontId="2" type="noConversion"/>
  </si>
  <si>
    <t>영어</t>
    <phoneticPr fontId="2" type="noConversion"/>
  </si>
  <si>
    <t>국어</t>
    <phoneticPr fontId="2" type="noConversion"/>
  </si>
  <si>
    <t>유지온</t>
    <phoneticPr fontId="2" type="noConversion"/>
  </si>
  <si>
    <t>할인금액</t>
    <phoneticPr fontId="2" type="noConversion"/>
  </si>
  <si>
    <t>판매금액</t>
    <phoneticPr fontId="2" type="noConversion"/>
  </si>
  <si>
    <r>
      <t>[표</t>
    </r>
    <r>
      <rPr>
        <sz val="11"/>
        <rFont val="돋움"/>
        <family val="3"/>
        <charset val="129"/>
      </rPr>
      <t>4</t>
    </r>
    <r>
      <rPr>
        <sz val="11"/>
        <rFont val="돋움"/>
        <family val="3"/>
        <charset val="129"/>
      </rPr>
      <t>]</t>
    </r>
    <phoneticPr fontId="2" type="noConversion"/>
  </si>
  <si>
    <t>[표5]</t>
    <phoneticPr fontId="2" type="noConversion"/>
  </si>
  <si>
    <t>지역</t>
    <phoneticPr fontId="2" type="noConversion"/>
  </si>
  <si>
    <t>서울</t>
    <phoneticPr fontId="2" type="noConversion"/>
  </si>
  <si>
    <t>부산</t>
    <phoneticPr fontId="2" type="noConversion"/>
  </si>
  <si>
    <t>경기</t>
    <phoneticPr fontId="2" type="noConversion"/>
  </si>
  <si>
    <t>경기</t>
    <phoneticPr fontId="2" type="noConversion"/>
  </si>
  <si>
    <t>부산</t>
    <phoneticPr fontId="2" type="noConversion"/>
  </si>
  <si>
    <t>서울</t>
    <phoneticPr fontId="2" type="noConversion"/>
  </si>
  <si>
    <t>단가</t>
    <phoneticPr fontId="2" type="noConversion"/>
  </si>
  <si>
    <t>품명</t>
    <phoneticPr fontId="2" type="noConversion"/>
  </si>
  <si>
    <r>
      <t>지역별 판매</t>
    </r>
    <r>
      <rPr>
        <sz val="11"/>
        <rFont val="돋움"/>
        <family val="3"/>
        <charset val="129"/>
      </rPr>
      <t xml:space="preserve"> 현황</t>
    </r>
    <phoneticPr fontId="2" type="noConversion"/>
  </si>
  <si>
    <r>
      <t>D</t>
    </r>
    <r>
      <rPr>
        <sz val="11"/>
        <rFont val="돋움"/>
        <family val="3"/>
        <charset val="129"/>
      </rPr>
      <t>VD</t>
    </r>
    <phoneticPr fontId="2" type="noConversion"/>
  </si>
  <si>
    <t>마우스</t>
    <phoneticPr fontId="2" type="noConversion"/>
  </si>
  <si>
    <t>라이트펜</t>
    <phoneticPr fontId="2" type="noConversion"/>
  </si>
  <si>
    <t>DVD</t>
    <phoneticPr fontId="2" type="noConversion"/>
  </si>
  <si>
    <t>판매량</t>
    <phoneticPr fontId="2" type="noConversion"/>
  </si>
  <si>
    <t>판매금액</t>
    <phoneticPr fontId="2" type="noConversion"/>
  </si>
  <si>
    <t>과목별 성적 현황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</si>
  <si>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</si>
  <si>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</si>
  <si>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</si>
  <si>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합격여부</t>
    <phoneticPr fontId="2" type="noConversion"/>
  </si>
  <si>
    <t>평균</t>
    <phoneticPr fontId="2" type="noConversion"/>
  </si>
  <si>
    <t>홈플러스</t>
    <phoneticPr fontId="2" type="noConversion"/>
  </si>
  <si>
    <t>온누리</t>
    <phoneticPr fontId="2" type="noConversion"/>
  </si>
  <si>
    <t>프린터</t>
    <phoneticPr fontId="2" type="noConversion"/>
  </si>
  <si>
    <t>우주통산</t>
    <phoneticPr fontId="2" type="noConversion"/>
  </si>
  <si>
    <t>대한위성방송</t>
    <phoneticPr fontId="2" type="noConversion"/>
  </si>
  <si>
    <t>상공상사</t>
    <phoneticPr fontId="2" type="noConversion"/>
  </si>
  <si>
    <t>스캐너</t>
    <phoneticPr fontId="2" type="noConversion"/>
  </si>
  <si>
    <t>스캐너</t>
    <phoneticPr fontId="2" type="noConversion"/>
  </si>
  <si>
    <t>상공상사</t>
    <phoneticPr fontId="2" type="noConversion"/>
  </si>
  <si>
    <t>스캐너</t>
    <phoneticPr fontId="2" type="noConversion"/>
  </si>
  <si>
    <t>프린터</t>
    <phoneticPr fontId="2" type="noConversion"/>
  </si>
  <si>
    <t>제품 공급 현황</t>
    <phoneticPr fontId="2" type="noConversion"/>
  </si>
  <si>
    <t>상공마트 거래 내역서</t>
  </si>
  <si>
    <t>분류</t>
    <phoneticPr fontId="2" type="noConversion"/>
  </si>
  <si>
    <t>상품코드</t>
    <phoneticPr fontId="2" type="noConversion"/>
  </si>
  <si>
    <t>상품명</t>
    <phoneticPr fontId="2" type="noConversion"/>
  </si>
  <si>
    <t>단가</t>
    <phoneticPr fontId="2" type="noConversion"/>
  </si>
  <si>
    <t>판매수량</t>
    <phoneticPr fontId="2" type="noConversion"/>
  </si>
  <si>
    <t>판매금액</t>
    <phoneticPr fontId="2" type="noConversion"/>
  </si>
  <si>
    <t>과일</t>
    <phoneticPr fontId="2" type="noConversion"/>
  </si>
  <si>
    <t>FA-001</t>
    <phoneticPr fontId="2" type="noConversion"/>
  </si>
  <si>
    <t>사과</t>
    <phoneticPr fontId="2" type="noConversion"/>
  </si>
  <si>
    <t>의류</t>
    <phoneticPr fontId="2" type="noConversion"/>
  </si>
  <si>
    <t>WF-001</t>
    <phoneticPr fontId="2" type="noConversion"/>
  </si>
  <si>
    <t>FP-001</t>
    <phoneticPr fontId="2" type="noConversion"/>
  </si>
  <si>
    <t>배</t>
    <phoneticPr fontId="2" type="noConversion"/>
  </si>
  <si>
    <t>WF-002</t>
    <phoneticPr fontId="2" type="noConversion"/>
  </si>
  <si>
    <t>가전</t>
    <phoneticPr fontId="2" type="noConversion"/>
  </si>
  <si>
    <t>HT-001</t>
    <phoneticPr fontId="2" type="noConversion"/>
  </si>
  <si>
    <t>HDTV</t>
    <phoneticPr fontId="2" type="noConversion"/>
  </si>
  <si>
    <t>HC-002</t>
    <phoneticPr fontId="2" type="noConversion"/>
  </si>
  <si>
    <t>홈시어터</t>
    <phoneticPr fontId="2" type="noConversion"/>
  </si>
  <si>
    <t>FA-002</t>
    <phoneticPr fontId="2" type="noConversion"/>
  </si>
  <si>
    <t>HT-002</t>
    <phoneticPr fontId="2" type="noConversion"/>
  </si>
  <si>
    <t>FP-002</t>
    <phoneticPr fontId="2" type="noConversion"/>
  </si>
  <si>
    <t>WM-001</t>
    <phoneticPr fontId="2" type="noConversion"/>
  </si>
  <si>
    <t>남성정장</t>
    <phoneticPr fontId="2" type="noConversion"/>
  </si>
  <si>
    <t>캐주얼</t>
    <phoneticPr fontId="2" type="noConversion"/>
  </si>
  <si>
    <t>복숭아</t>
    <phoneticPr fontId="2" type="noConversion"/>
  </si>
  <si>
    <t>세탁기</t>
    <phoneticPr fontId="2" type="noConversion"/>
  </si>
  <si>
    <t>메론</t>
    <phoneticPr fontId="2" type="noConversion"/>
  </si>
  <si>
    <t>냉장</t>
    <phoneticPr fontId="2" type="noConversion"/>
  </si>
  <si>
    <t>여성정장</t>
    <phoneticPr fontId="2" type="noConversion"/>
  </si>
  <si>
    <t>하반기 자동차 매출 현황</t>
    <phoneticPr fontId="2" type="noConversion"/>
  </si>
  <si>
    <t>단위:천원</t>
    <phoneticPr fontId="2" type="noConversion"/>
  </si>
  <si>
    <t>지점</t>
    <phoneticPr fontId="2" type="noConversion"/>
  </si>
  <si>
    <t>목표량</t>
    <phoneticPr fontId="2" type="noConversion"/>
  </si>
  <si>
    <t>목표액</t>
    <phoneticPr fontId="2" type="noConversion"/>
  </si>
  <si>
    <t>판매량</t>
    <phoneticPr fontId="2" type="noConversion"/>
  </si>
  <si>
    <t>강서</t>
    <phoneticPr fontId="2" type="noConversion"/>
  </si>
  <si>
    <t>강남</t>
    <phoneticPr fontId="2" type="noConversion"/>
  </si>
  <si>
    <t>북부</t>
    <phoneticPr fontId="2" type="noConversion"/>
  </si>
  <si>
    <t>남부</t>
    <phoneticPr fontId="2" type="noConversion"/>
  </si>
  <si>
    <t>중부</t>
    <phoneticPr fontId="2" type="noConversion"/>
  </si>
  <si>
    <t>동부</t>
    <phoneticPr fontId="2" type="noConversion"/>
  </si>
  <si>
    <t>서부</t>
    <phoneticPr fontId="2" type="noConversion"/>
  </si>
  <si>
    <t>평균</t>
    <phoneticPr fontId="2" type="noConversion"/>
  </si>
  <si>
    <t>담당자별 매입 매출 현황</t>
    <phoneticPr fontId="2" type="noConversion"/>
  </si>
  <si>
    <t>매입처명</t>
    <phoneticPr fontId="2" type="noConversion"/>
  </si>
  <si>
    <t>전기이월</t>
    <phoneticPr fontId="2" type="noConversion"/>
  </si>
  <si>
    <t>기간매입</t>
    <phoneticPr fontId="2" type="noConversion"/>
  </si>
  <si>
    <t>기간매출</t>
    <phoneticPr fontId="2" type="noConversion"/>
  </si>
  <si>
    <t>매출액</t>
    <phoneticPr fontId="2" type="noConversion"/>
  </si>
  <si>
    <t>안동자</t>
    <phoneticPr fontId="2" type="noConversion"/>
  </si>
  <si>
    <t>한사랑</t>
    <phoneticPr fontId="2" type="noConversion"/>
  </si>
  <si>
    <t>한구민</t>
    <phoneticPr fontId="2" type="noConversion"/>
  </si>
  <si>
    <t>상공상사</t>
    <phoneticPr fontId="2" type="noConversion"/>
  </si>
  <si>
    <t>민들래</t>
    <phoneticPr fontId="2" type="noConversion"/>
  </si>
  <si>
    <t>㈜파랑새</t>
    <phoneticPr fontId="2" type="noConversion"/>
  </si>
  <si>
    <t>강소원</t>
    <phoneticPr fontId="2" type="noConversion"/>
  </si>
  <si>
    <t>대한문고</t>
    <phoneticPr fontId="2" type="noConversion"/>
  </si>
  <si>
    <t>한나라</t>
    <phoneticPr fontId="2" type="noConversion"/>
  </si>
  <si>
    <t>장라면</t>
    <phoneticPr fontId="2" type="noConversion"/>
  </si>
  <si>
    <t>오지원</t>
    <phoneticPr fontId="2" type="noConversion"/>
  </si>
  <si>
    <t>한두림</t>
    <phoneticPr fontId="2" type="noConversion"/>
  </si>
  <si>
    <t>오형택</t>
    <phoneticPr fontId="2" type="noConversion"/>
  </si>
  <si>
    <t>심바다</t>
    <phoneticPr fontId="2" type="noConversion"/>
  </si>
  <si>
    <t>합계</t>
    <phoneticPr fontId="2" type="noConversion"/>
  </si>
  <si>
    <t>안아영</t>
    <phoneticPr fontId="2" type="noConversion"/>
  </si>
  <si>
    <t>수</t>
    <phoneticPr fontId="2" type="noConversion"/>
  </si>
  <si>
    <t>오미지</t>
    <phoneticPr fontId="2" type="noConversion"/>
  </si>
  <si>
    <t>양</t>
    <phoneticPr fontId="2" type="noConversion"/>
  </si>
  <si>
    <t>한가람</t>
    <phoneticPr fontId="2" type="noConversion"/>
  </si>
  <si>
    <t>김정환</t>
    <phoneticPr fontId="2" type="noConversion"/>
  </si>
  <si>
    <t>우</t>
    <phoneticPr fontId="2" type="noConversion"/>
  </si>
  <si>
    <t>유정철</t>
    <phoneticPr fontId="2" type="noConversion"/>
  </si>
  <si>
    <t>미</t>
    <phoneticPr fontId="2" type="noConversion"/>
  </si>
  <si>
    <t>송미리</t>
    <phoneticPr fontId="2" type="noConversion"/>
  </si>
  <si>
    <t>서울평균</t>
    <phoneticPr fontId="2" type="noConversion"/>
  </si>
  <si>
    <r>
      <t>02</t>
    </r>
    <r>
      <rPr>
        <sz val="11"/>
        <rFont val="돋움"/>
        <family val="3"/>
        <charset val="129"/>
      </rPr>
      <t>1010</t>
    </r>
    <r>
      <rPr>
        <sz val="11"/>
        <rFont val="돋움"/>
        <family val="3"/>
        <charset val="129"/>
      </rPr>
      <t>-4231519</t>
    </r>
    <phoneticPr fontId="2" type="noConversion"/>
  </si>
  <si>
    <t>030621-3469856</t>
    <phoneticPr fontId="2" type="noConversion"/>
  </si>
  <si>
    <t>020725-2348521</t>
    <phoneticPr fontId="2" type="noConversion"/>
  </si>
  <si>
    <t>031231-1247825</t>
    <phoneticPr fontId="2" type="noConversion"/>
  </si>
  <si>
    <t>040409-3254874</t>
    <phoneticPr fontId="2" type="noConversion"/>
  </si>
  <si>
    <t>021122-1352487</t>
    <phoneticPr fontId="2" type="noConversion"/>
  </si>
  <si>
    <t>030815-4354798</t>
    <phoneticPr fontId="2" type="noConversion"/>
  </si>
  <si>
    <t>020917-2514783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</si>
</sst>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6"/>
      <name val="돋움"/>
      <family val="3"/>
      <charset val="129"/>
    </font>
    <font>
      <b/>
      <sz val="16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/>
    </xf>
    <xf numFmtId="41" fontId="1" fillId="0" borderId="1" xfId="2" applyBorder="1" applyAlignment="1">
      <alignment horizontal="center"/>
    </xf>
    <xf numFmtId="9" fontId="1" fillId="0" borderId="1" xfId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/>
    <xf numFmtId="0" fontId="1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41" fontId="1" fillId="0" borderId="1" xfId="2" applyBorder="1"/>
    <xf numFmtId="0" fontId="0" fillId="0" borderId="1" xfId="0" applyFont="1" applyFill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2" applyNumberFormat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1" fontId="0" fillId="0" borderId="1" xfId="2" applyFont="1" applyBorder="1" applyAlignment="1">
      <alignment horizontal="center"/>
    </xf>
    <xf numFmtId="41" fontId="0" fillId="0" borderId="1" xfId="2" applyFont="1" applyBorder="1"/>
    <xf numFmtId="41" fontId="1" fillId="0" borderId="1" xfId="2" applyFont="1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/>
    </xf>
    <xf numFmtId="41" fontId="0" fillId="0" borderId="1" xfId="0" applyNumberFormat="1" applyBorder="1"/>
    <xf numFmtId="41" fontId="0" fillId="0" borderId="1" xfId="0" applyNumberForma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00016837298656"/>
          <c:y val="0.23104084211695769"/>
          <c:w val="0.64655226844715452"/>
          <c:h val="0.647268535877459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985600</c:v>
                </c:pt>
                <c:pt idx="1">
                  <c:v>862400</c:v>
                </c:pt>
                <c:pt idx="2">
                  <c:v>638400</c:v>
                </c:pt>
                <c:pt idx="3">
                  <c:v>324800</c:v>
                </c:pt>
                <c:pt idx="4">
                  <c:v>828800</c:v>
                </c:pt>
                <c:pt idx="5">
                  <c:v>750400</c:v>
                </c:pt>
                <c:pt idx="6">
                  <c:v>963200</c:v>
                </c:pt>
              </c:numCache>
            </c:numRef>
          </c:val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매출액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차트작업!$A$4:$A$10</c:f>
              <c:strCache>
                <c:ptCount val="7"/>
                <c:pt idx="0">
                  <c:v>강서</c:v>
                </c:pt>
                <c:pt idx="1">
                  <c:v>강남</c:v>
                </c:pt>
                <c:pt idx="2">
                  <c:v>북부</c:v>
                </c:pt>
                <c:pt idx="3">
                  <c:v>남부</c:v>
                </c:pt>
                <c:pt idx="4">
                  <c:v>중부</c:v>
                </c:pt>
                <c:pt idx="5">
                  <c:v>동부</c:v>
                </c:pt>
                <c:pt idx="6">
                  <c:v>서부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929600</c:v>
                </c:pt>
                <c:pt idx="1">
                  <c:v>761600</c:v>
                </c:pt>
                <c:pt idx="2">
                  <c:v>627200</c:v>
                </c:pt>
                <c:pt idx="3">
                  <c:v>257600</c:v>
                </c:pt>
                <c:pt idx="4">
                  <c:v>672000</c:v>
                </c:pt>
                <c:pt idx="5">
                  <c:v>560000</c:v>
                </c:pt>
                <c:pt idx="6">
                  <c:v>952000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51488"/>
        <c:axId val="128753024"/>
      </c:barChart>
      <c:catAx>
        <c:axId val="1287514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2875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8753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_);_(@_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287514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1" applyPatternFormats="1" applyAlignmentFormats="0" applyWidthHeightFormats="0">
  <queryTableRefresh nextId="8">
    <queryTableFields count="7">
      <queryTableField id="1" name="판매 대상"/>
      <queryTableField id="2" name="도서명"/>
      <queryTableField id="3" name="도서단가"/>
      <queryTableField id="4" name="수량"/>
      <queryTableField id="5" name="할인율"/>
      <queryTableField id="6" name="판매금액"/>
      <queryTableField id="7" name="실공급액"/>
    </queryTableFields>
  </queryTableRefresh>
</queryTable>
</file>

<file path=xl/queryTables/queryTable2.xml><?xml version="1.0" encoding="utf-8"?>
<queryTable xmlns="http://schemas.openxmlformats.org/spreadsheetml/2006/main" name="MS Access Database_Query_4" connectionId="2" autoFormatId="16" applyNumberFormats="0" applyBorderFormats="0" applyFontFormats="1" applyPatternFormats="1" applyAlignmentFormats="0" applyWidthHeightFormats="0">
  <queryTableRefresh nextId="9">
    <queryTableFields count="6">
      <queryTableField id="3" name="성명"/>
      <queryTableField id="7" dataBound="0" fillFormulas="1"/>
      <queryTableField id="4" name="성별"/>
      <queryTableField id="8" dataBound="0" fillFormulas="1"/>
      <queryTableField id="5" name="기본급"/>
      <queryTableField id="6" name="수당"/>
    </queryTableFields>
    <queryTableDeletedFields count="2">
      <deletedField name="부서코드"/>
      <deletedField name="부서"/>
    </queryTableDeletedFields>
    <sortState ref="A4:F17">
      <sortCondition ref="B3"/>
    </sortState>
  </queryTableRefresh>
</queryTable>
</file>

<file path=xl/queryTables/queryTable3.xml><?xml version="1.0" encoding="utf-8"?>
<queryTable xmlns="http://schemas.openxmlformats.org/spreadsheetml/2006/main" name="MS Access Database_Query_3" connectionId="3" autoFormatId="16" applyNumberFormats="0" applyBorderFormats="0" applyFontFormats="1" applyPatternFormats="1" applyAlignmentFormats="0" applyWidthHeightFormats="0">
  <queryTableRefresh nextId="9" unboundColumnsLeft="2">
    <queryTableFields count="4">
      <queryTableField id="7" dataBound="0"/>
      <queryTableField id="8" dataBound="0"/>
      <queryTableField id="5" name="기본급"/>
      <queryTableField id="6" name="수당"/>
    </queryTableFields>
    <queryTableDeletedFields count="4">
      <deletedField name="부서코드"/>
      <deletedField name="성별"/>
      <deletedField name="성명"/>
      <deletedField name="부서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/>
  </sheetViews>
  <sheetFormatPr defaultRowHeight="13.5" x14ac:dyDescent="0.15"/>
  <cols>
    <col min="1" max="1" width="9.77734375" customWidth="1"/>
    <col min="2" max="2" width="17.44140625" bestFit="1" customWidth="1"/>
    <col min="3" max="3" width="11.6640625" customWidth="1"/>
    <col min="4" max="4" width="14" customWidth="1"/>
    <col min="5" max="5" width="10.33203125" customWidth="1"/>
    <col min="6" max="6" width="10.5546875" customWidth="1"/>
    <col min="7" max="7" width="15.6640625" customWidth="1"/>
  </cols>
  <sheetData>
    <row r="1" spans="1:6" x14ac:dyDescent="0.15">
      <c r="A1" t="s">
        <v>22</v>
      </c>
    </row>
    <row r="4" spans="1:6" x14ac:dyDescent="0.15">
      <c r="F4" s="2"/>
    </row>
    <row r="5" spans="1:6" x14ac:dyDescent="0.15">
      <c r="F5" s="2"/>
    </row>
    <row r="6" spans="1:6" x14ac:dyDescent="0.15">
      <c r="F6" s="2"/>
    </row>
    <row r="7" spans="1:6" x14ac:dyDescent="0.15">
      <c r="F7" s="2"/>
    </row>
    <row r="8" spans="1:6" x14ac:dyDescent="0.15">
      <c r="F8" s="2"/>
    </row>
    <row r="9" spans="1:6" x14ac:dyDescent="0.15">
      <c r="F9" s="2"/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workbookViewId="0"/>
  </sheetViews>
  <sheetFormatPr defaultRowHeight="13.5" x14ac:dyDescent="0.15"/>
  <cols>
    <col min="2" max="2" width="11.44140625" bestFit="1" customWidth="1"/>
    <col min="4" max="5" width="8.21875" bestFit="1" customWidth="1"/>
    <col min="6" max="6" width="8.5546875" bestFit="1" customWidth="1"/>
    <col min="7" max="7" width="11.21875" customWidth="1"/>
  </cols>
  <sheetData>
    <row r="1" spans="1:8" x14ac:dyDescent="0.15">
      <c r="A1" s="1" t="s">
        <v>178</v>
      </c>
      <c r="B1" s="1"/>
      <c r="C1" s="1"/>
      <c r="D1" s="1"/>
      <c r="E1" s="1"/>
      <c r="F1" s="1"/>
      <c r="G1" s="1"/>
      <c r="H1" s="1"/>
    </row>
    <row r="2" spans="1:8" x14ac:dyDescent="0.15">
      <c r="A2" s="1"/>
      <c r="B2" s="1"/>
      <c r="C2" s="1"/>
      <c r="D2" s="1"/>
      <c r="E2" s="1"/>
      <c r="F2" s="1"/>
      <c r="G2" s="1"/>
      <c r="H2" s="1"/>
    </row>
    <row r="3" spans="1:8" x14ac:dyDescent="0.15">
      <c r="A3" t="s">
        <v>0</v>
      </c>
      <c r="B3" t="s">
        <v>1</v>
      </c>
      <c r="C3" t="s">
        <v>179</v>
      </c>
      <c r="D3" t="s">
        <v>180</v>
      </c>
      <c r="E3" t="s">
        <v>181</v>
      </c>
      <c r="F3" t="s">
        <v>182</v>
      </c>
      <c r="G3" t="s">
        <v>183</v>
      </c>
    </row>
    <row r="4" spans="1:8" x14ac:dyDescent="0.15">
      <c r="A4" s="1" t="s">
        <v>184</v>
      </c>
      <c r="B4" s="2">
        <v>38194</v>
      </c>
      <c r="C4" s="1" t="s">
        <v>185</v>
      </c>
      <c r="D4" s="1">
        <v>55</v>
      </c>
      <c r="E4" s="1">
        <v>220</v>
      </c>
      <c r="F4" s="1">
        <v>160</v>
      </c>
      <c r="G4" s="1">
        <v>800000</v>
      </c>
    </row>
    <row r="5" spans="1:8" x14ac:dyDescent="0.15">
      <c r="A5" s="1" t="s">
        <v>186</v>
      </c>
      <c r="B5" s="2">
        <v>38195</v>
      </c>
      <c r="C5" s="1" t="s">
        <v>187</v>
      </c>
      <c r="D5" s="1">
        <v>45</v>
      </c>
      <c r="E5" s="1">
        <v>120</v>
      </c>
      <c r="F5" s="1">
        <v>130</v>
      </c>
      <c r="G5" s="1">
        <v>650000</v>
      </c>
    </row>
    <row r="6" spans="1:8" x14ac:dyDescent="0.15">
      <c r="A6" s="1" t="s">
        <v>188</v>
      </c>
      <c r="B6" s="2">
        <v>38196</v>
      </c>
      <c r="C6" s="1" t="s">
        <v>189</v>
      </c>
      <c r="D6" s="1">
        <v>29</v>
      </c>
      <c r="E6" s="1">
        <v>100</v>
      </c>
      <c r="F6" s="1">
        <v>115</v>
      </c>
      <c r="G6" s="1">
        <v>575000</v>
      </c>
    </row>
    <row r="7" spans="1:8" x14ac:dyDescent="0.15">
      <c r="A7" s="1" t="s">
        <v>190</v>
      </c>
      <c r="B7" s="2">
        <v>38245</v>
      </c>
      <c r="C7" s="1" t="s">
        <v>191</v>
      </c>
      <c r="D7" s="1">
        <v>30</v>
      </c>
      <c r="E7" s="1">
        <v>220</v>
      </c>
      <c r="F7" s="1">
        <v>210</v>
      </c>
      <c r="G7" s="1">
        <v>1050000</v>
      </c>
    </row>
    <row r="8" spans="1:8" x14ac:dyDescent="0.15">
      <c r="A8" s="1" t="s">
        <v>192</v>
      </c>
      <c r="B8" s="2">
        <v>38246</v>
      </c>
      <c r="C8" s="1" t="s">
        <v>185</v>
      </c>
      <c r="D8" s="1">
        <v>26</v>
      </c>
      <c r="E8" s="1">
        <v>210</v>
      </c>
      <c r="F8" s="1">
        <v>220</v>
      </c>
      <c r="G8" s="1">
        <v>1100000</v>
      </c>
    </row>
    <row r="9" spans="1:8" x14ac:dyDescent="0.15">
      <c r="A9" s="1" t="s">
        <v>193</v>
      </c>
      <c r="B9" s="2">
        <v>38247</v>
      </c>
      <c r="C9" s="1" t="s">
        <v>187</v>
      </c>
      <c r="D9" s="1">
        <v>77</v>
      </c>
      <c r="E9" s="1">
        <v>150</v>
      </c>
      <c r="F9" s="1">
        <v>170</v>
      </c>
      <c r="G9" s="1">
        <v>850000</v>
      </c>
    </row>
    <row r="10" spans="1:8" x14ac:dyDescent="0.15">
      <c r="A10" s="1" t="s">
        <v>194</v>
      </c>
      <c r="B10" s="2">
        <v>38249</v>
      </c>
      <c r="C10" s="1" t="s">
        <v>191</v>
      </c>
      <c r="D10" s="1">
        <v>55</v>
      </c>
      <c r="E10" s="1">
        <v>140</v>
      </c>
      <c r="F10" s="1">
        <v>190</v>
      </c>
      <c r="G10" s="1">
        <v>950000</v>
      </c>
    </row>
    <row r="11" spans="1:8" x14ac:dyDescent="0.15">
      <c r="A11" s="1" t="s">
        <v>195</v>
      </c>
      <c r="B11" s="2">
        <v>38250</v>
      </c>
      <c r="C11" s="1" t="s">
        <v>188</v>
      </c>
      <c r="D11" s="1">
        <v>67</v>
      </c>
      <c r="E11" s="1">
        <v>130</v>
      </c>
      <c r="F11" s="1">
        <v>195</v>
      </c>
      <c r="G11" s="1">
        <v>975000</v>
      </c>
    </row>
    <row r="12" spans="1:8" x14ac:dyDescent="0.15">
      <c r="A12" s="1" t="s">
        <v>196</v>
      </c>
      <c r="B12" s="2">
        <v>38251</v>
      </c>
      <c r="C12" s="1" t="s">
        <v>197</v>
      </c>
      <c r="D12" s="1">
        <v>78</v>
      </c>
      <c r="E12" s="1">
        <v>90</v>
      </c>
      <c r="F12" s="1">
        <v>155</v>
      </c>
      <c r="G12" s="1">
        <v>775000</v>
      </c>
    </row>
    <row r="13" spans="1:8" x14ac:dyDescent="0.15">
      <c r="A13" s="1" t="s">
        <v>198</v>
      </c>
      <c r="G13" s="1">
        <v>7725000</v>
      </c>
    </row>
  </sheetData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sqref="A1:G1"/>
    </sheetView>
  </sheetViews>
  <sheetFormatPr defaultRowHeight="13.5" x14ac:dyDescent="0.15"/>
  <cols>
    <col min="1" max="1" width="7.88671875" customWidth="1"/>
    <col min="2" max="2" width="17.44140625" bestFit="1" customWidth="1"/>
    <col min="3" max="3" width="9.77734375" bestFit="1" customWidth="1"/>
    <col min="4" max="5" width="7.5546875" customWidth="1"/>
    <col min="6" max="7" width="12.88671875" bestFit="1" customWidth="1"/>
    <col min="8" max="9" width="9" customWidth="1"/>
    <col min="10" max="10" width="7.33203125" customWidth="1"/>
  </cols>
  <sheetData>
    <row r="1" spans="1:7" ht="20.25" x14ac:dyDescent="0.25">
      <c r="A1" s="42" t="s">
        <v>23</v>
      </c>
      <c r="B1" s="42"/>
      <c r="C1" s="42"/>
      <c r="D1" s="42"/>
      <c r="E1" s="42"/>
      <c r="F1" s="42"/>
      <c r="G1" s="42"/>
    </row>
    <row r="3" spans="1:7" x14ac:dyDescent="0.1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 x14ac:dyDescent="0.15">
      <c r="A4" s="3" t="s">
        <v>24</v>
      </c>
      <c r="B4" s="3" t="s">
        <v>25</v>
      </c>
      <c r="C4" s="4">
        <v>65000</v>
      </c>
      <c r="D4" s="3">
        <v>125</v>
      </c>
      <c r="E4" s="5">
        <v>0.2</v>
      </c>
      <c r="F4" s="4">
        <f t="shared" ref="F4:F11" si="0">C4*D4</f>
        <v>8125000</v>
      </c>
      <c r="G4" s="4">
        <f t="shared" ref="G4:G11" si="1">F4-F4*E4</f>
        <v>6500000</v>
      </c>
    </row>
    <row r="5" spans="1:7" x14ac:dyDescent="0.15">
      <c r="A5" s="3" t="s">
        <v>26</v>
      </c>
      <c r="B5" s="3" t="s">
        <v>27</v>
      </c>
      <c r="C5" s="4">
        <v>62000</v>
      </c>
      <c r="D5" s="3">
        <v>78</v>
      </c>
      <c r="E5" s="5">
        <v>0.05</v>
      </c>
      <c r="F5" s="4">
        <f t="shared" si="0"/>
        <v>4836000</v>
      </c>
      <c r="G5" s="4">
        <f t="shared" si="1"/>
        <v>4594200</v>
      </c>
    </row>
    <row r="6" spans="1:7" x14ac:dyDescent="0.15">
      <c r="A6" s="3" t="s">
        <v>28</v>
      </c>
      <c r="B6" s="3" t="s">
        <v>29</v>
      </c>
      <c r="C6" s="4">
        <v>30000</v>
      </c>
      <c r="D6" s="3">
        <v>68</v>
      </c>
      <c r="E6" s="5">
        <v>0.3</v>
      </c>
      <c r="F6" s="4">
        <f t="shared" si="0"/>
        <v>2040000</v>
      </c>
      <c r="G6" s="4">
        <f t="shared" si="1"/>
        <v>1428000</v>
      </c>
    </row>
    <row r="7" spans="1:7" x14ac:dyDescent="0.15">
      <c r="A7" s="3" t="s">
        <v>28</v>
      </c>
      <c r="B7" s="3" t="s">
        <v>30</v>
      </c>
      <c r="C7" s="4">
        <v>80000</v>
      </c>
      <c r="D7" s="3">
        <v>100</v>
      </c>
      <c r="E7" s="5">
        <v>0.3</v>
      </c>
      <c r="F7" s="4">
        <f t="shared" si="0"/>
        <v>8000000</v>
      </c>
      <c r="G7" s="4">
        <f t="shared" si="1"/>
        <v>5600000</v>
      </c>
    </row>
    <row r="8" spans="1:7" x14ac:dyDescent="0.15">
      <c r="A8" s="3" t="s">
        <v>9</v>
      </c>
      <c r="B8" s="3" t="s">
        <v>31</v>
      </c>
      <c r="C8" s="4">
        <v>35000</v>
      </c>
      <c r="D8" s="3">
        <v>93</v>
      </c>
      <c r="E8" s="5">
        <v>0.2</v>
      </c>
      <c r="F8" s="4">
        <f t="shared" si="0"/>
        <v>3255000</v>
      </c>
      <c r="G8" s="4">
        <f t="shared" si="1"/>
        <v>2604000</v>
      </c>
    </row>
    <row r="9" spans="1:7" x14ac:dyDescent="0.15">
      <c r="A9" s="3" t="s">
        <v>32</v>
      </c>
      <c r="B9" s="3" t="s">
        <v>33</v>
      </c>
      <c r="C9" s="4">
        <v>32000</v>
      </c>
      <c r="D9" s="3">
        <v>50</v>
      </c>
      <c r="E9" s="5">
        <v>0.2</v>
      </c>
      <c r="F9" s="4">
        <f t="shared" si="0"/>
        <v>1600000</v>
      </c>
      <c r="G9" s="4">
        <f t="shared" si="1"/>
        <v>1280000</v>
      </c>
    </row>
    <row r="10" spans="1:7" x14ac:dyDescent="0.15">
      <c r="A10" s="3" t="s">
        <v>26</v>
      </c>
      <c r="B10" s="3" t="s">
        <v>34</v>
      </c>
      <c r="C10" s="4">
        <v>60000</v>
      </c>
      <c r="D10" s="3">
        <v>88</v>
      </c>
      <c r="E10" s="5">
        <v>0.05</v>
      </c>
      <c r="F10" s="4">
        <f t="shared" si="0"/>
        <v>5280000</v>
      </c>
      <c r="G10" s="4">
        <f t="shared" si="1"/>
        <v>5016000</v>
      </c>
    </row>
    <row r="11" spans="1:7" x14ac:dyDescent="0.15">
      <c r="A11" s="3" t="s">
        <v>24</v>
      </c>
      <c r="B11" s="3" t="s">
        <v>35</v>
      </c>
      <c r="C11" s="4">
        <v>28000</v>
      </c>
      <c r="D11" s="3">
        <v>110</v>
      </c>
      <c r="E11" s="5">
        <v>0.2</v>
      </c>
      <c r="F11" s="4">
        <f t="shared" si="0"/>
        <v>3080000</v>
      </c>
      <c r="G11" s="4">
        <f t="shared" si="1"/>
        <v>2464000</v>
      </c>
    </row>
  </sheetData>
  <mergeCells count="1">
    <mergeCell ref="A1:G1"/>
  </mergeCells>
  <phoneticPr fontId="2" type="noConversion"/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3"/>
  <sheetViews>
    <sheetView workbookViewId="0"/>
  </sheetViews>
  <sheetFormatPr defaultRowHeight="13.5" x14ac:dyDescent="0.15"/>
  <cols>
    <col min="1" max="1" width="9.33203125" style="8" bestFit="1" customWidth="1"/>
    <col min="2" max="2" width="8.88671875" style="8"/>
    <col min="3" max="3" width="8.21875" style="8" bestFit="1" customWidth="1"/>
    <col min="4" max="4" width="9.5546875" style="8" customWidth="1"/>
    <col min="5" max="5" width="9.6640625" style="6" customWidth="1"/>
    <col min="6" max="6" width="9.77734375" style="7" customWidth="1"/>
    <col min="7" max="16384" width="8.88671875" style="8"/>
  </cols>
  <sheetData>
    <row r="1" spans="1:11" x14ac:dyDescent="0.15">
      <c r="A1" t="s">
        <v>48</v>
      </c>
      <c r="B1" t="s">
        <v>79</v>
      </c>
      <c r="C1"/>
      <c r="D1"/>
      <c r="G1" s="7" t="s">
        <v>49</v>
      </c>
      <c r="H1" s="8" t="s">
        <v>86</v>
      </c>
    </row>
    <row r="2" spans="1:11" x14ac:dyDescent="0.15">
      <c r="A2" s="3" t="s">
        <v>75</v>
      </c>
      <c r="B2" s="3" t="s">
        <v>47</v>
      </c>
      <c r="C2" s="9" t="s">
        <v>50</v>
      </c>
      <c r="D2" s="10" t="s">
        <v>72</v>
      </c>
      <c r="G2" s="44" t="s">
        <v>80</v>
      </c>
      <c r="H2" s="44"/>
      <c r="I2" s="11" t="s">
        <v>47</v>
      </c>
      <c r="J2" s="11" t="s">
        <v>87</v>
      </c>
      <c r="K2" s="14" t="s">
        <v>81</v>
      </c>
    </row>
    <row r="3" spans="1:11" x14ac:dyDescent="0.15">
      <c r="A3" s="3" t="s">
        <v>77</v>
      </c>
      <c r="B3" s="3" t="s">
        <v>51</v>
      </c>
      <c r="C3" s="12">
        <v>12</v>
      </c>
      <c r="D3" s="3"/>
      <c r="G3" s="45" t="s">
        <v>210</v>
      </c>
      <c r="H3" s="44"/>
      <c r="I3" s="13" t="s">
        <v>83</v>
      </c>
      <c r="J3" s="13" t="s">
        <v>88</v>
      </c>
      <c r="K3" s="13"/>
    </row>
    <row r="4" spans="1:11" x14ac:dyDescent="0.15">
      <c r="A4" s="3" t="s">
        <v>76</v>
      </c>
      <c r="B4" s="3" t="s">
        <v>52</v>
      </c>
      <c r="C4" s="12">
        <v>13</v>
      </c>
      <c r="D4" s="3"/>
      <c r="G4" s="45" t="s">
        <v>211</v>
      </c>
      <c r="H4" s="44"/>
      <c r="I4" s="13" t="s">
        <v>82</v>
      </c>
      <c r="J4" s="13" t="s">
        <v>89</v>
      </c>
      <c r="K4" s="13"/>
    </row>
    <row r="5" spans="1:11" x14ac:dyDescent="0.15">
      <c r="A5" s="3" t="s">
        <v>78</v>
      </c>
      <c r="B5" s="3" t="s">
        <v>54</v>
      </c>
      <c r="C5" s="12">
        <v>14</v>
      </c>
      <c r="D5" s="3"/>
      <c r="G5" s="45" t="s">
        <v>212</v>
      </c>
      <c r="H5" s="44"/>
      <c r="I5" s="13" t="s">
        <v>53</v>
      </c>
      <c r="J5" s="13" t="s">
        <v>88</v>
      </c>
      <c r="K5" s="13"/>
    </row>
    <row r="6" spans="1:11" x14ac:dyDescent="0.15">
      <c r="A6" s="3" t="s">
        <v>78</v>
      </c>
      <c r="B6" s="3" t="s">
        <v>55</v>
      </c>
      <c r="C6" s="12">
        <v>5</v>
      </c>
      <c r="D6" s="3"/>
      <c r="G6" s="45" t="s">
        <v>213</v>
      </c>
      <c r="H6" s="44"/>
      <c r="I6" s="13" t="s">
        <v>84</v>
      </c>
      <c r="J6" s="13" t="s">
        <v>90</v>
      </c>
      <c r="K6" s="13"/>
    </row>
    <row r="7" spans="1:11" x14ac:dyDescent="0.15">
      <c r="A7" s="3" t="s">
        <v>76</v>
      </c>
      <c r="B7" s="3" t="s">
        <v>56</v>
      </c>
      <c r="C7" s="12">
        <v>7</v>
      </c>
      <c r="D7" s="3"/>
      <c r="G7" s="45" t="s">
        <v>214</v>
      </c>
      <c r="H7" s="44"/>
      <c r="I7" s="13" t="s">
        <v>57</v>
      </c>
      <c r="J7" s="13" t="s">
        <v>90</v>
      </c>
      <c r="K7" s="13"/>
    </row>
    <row r="8" spans="1:11" x14ac:dyDescent="0.15">
      <c r="A8" s="3" t="s">
        <v>76</v>
      </c>
      <c r="B8" s="3" t="s">
        <v>58</v>
      </c>
      <c r="C8" s="12">
        <v>10</v>
      </c>
      <c r="D8" s="3"/>
      <c r="G8" s="45" t="s">
        <v>215</v>
      </c>
      <c r="H8" s="44"/>
      <c r="I8" s="13" t="s">
        <v>59</v>
      </c>
      <c r="J8" s="13" t="s">
        <v>91</v>
      </c>
      <c r="K8" s="13"/>
    </row>
    <row r="9" spans="1:11" x14ac:dyDescent="0.15">
      <c r="A9" s="18" t="s">
        <v>77</v>
      </c>
      <c r="B9" s="20" t="s">
        <v>73</v>
      </c>
      <c r="C9" s="35">
        <v>15</v>
      </c>
      <c r="D9" s="3"/>
      <c r="G9" s="45" t="s">
        <v>216</v>
      </c>
      <c r="H9" s="44"/>
      <c r="I9" s="11" t="s">
        <v>85</v>
      </c>
      <c r="J9" s="11" t="s">
        <v>92</v>
      </c>
      <c r="K9" s="13"/>
    </row>
    <row r="10" spans="1:11" x14ac:dyDescent="0.15">
      <c r="A10" s="18" t="s">
        <v>78</v>
      </c>
      <c r="B10" s="20" t="s">
        <v>74</v>
      </c>
      <c r="C10" s="35">
        <v>9</v>
      </c>
      <c r="D10" s="3"/>
      <c r="F10" s="34"/>
      <c r="G10" s="46" t="s">
        <v>217</v>
      </c>
      <c r="H10" s="47"/>
      <c r="I10" s="13" t="s">
        <v>94</v>
      </c>
      <c r="J10" s="13" t="s">
        <v>93</v>
      </c>
      <c r="K10" s="13"/>
    </row>
    <row r="12" spans="1:11" x14ac:dyDescent="0.15">
      <c r="A12" s="15" t="s">
        <v>37</v>
      </c>
      <c r="B12" s="15" t="s">
        <v>38</v>
      </c>
      <c r="G12" s="23" t="s">
        <v>97</v>
      </c>
      <c r="H12" s="8" t="s">
        <v>108</v>
      </c>
    </row>
    <row r="13" spans="1:11" x14ac:dyDescent="0.15">
      <c r="A13" s="3" t="s">
        <v>39</v>
      </c>
      <c r="B13" s="3" t="s">
        <v>40</v>
      </c>
      <c r="C13" s="3" t="s">
        <v>41</v>
      </c>
      <c r="D13" s="18" t="s">
        <v>96</v>
      </c>
      <c r="E13" s="10" t="s">
        <v>95</v>
      </c>
      <c r="F13" s="8"/>
      <c r="G13" s="11" t="s">
        <v>107</v>
      </c>
      <c r="H13" s="11" t="s">
        <v>99</v>
      </c>
      <c r="I13" s="11" t="s">
        <v>106</v>
      </c>
      <c r="J13" s="11" t="s">
        <v>113</v>
      </c>
      <c r="K13" s="11" t="s">
        <v>114</v>
      </c>
    </row>
    <row r="14" spans="1:11" x14ac:dyDescent="0.15">
      <c r="A14" s="3" t="s">
        <v>42</v>
      </c>
      <c r="B14" s="4">
        <v>2550</v>
      </c>
      <c r="C14" s="3">
        <v>55</v>
      </c>
      <c r="D14" s="19">
        <f>B14*C14</f>
        <v>140250</v>
      </c>
      <c r="E14" s="31"/>
      <c r="F14" s="8"/>
      <c r="G14" s="13" t="s">
        <v>109</v>
      </c>
      <c r="H14" s="13" t="s">
        <v>100</v>
      </c>
      <c r="I14" s="13">
        <v>6000</v>
      </c>
      <c r="J14" s="13">
        <v>67</v>
      </c>
      <c r="K14" s="11">
        <f>I14*J14</f>
        <v>402000</v>
      </c>
    </row>
    <row r="15" spans="1:11" x14ac:dyDescent="0.15">
      <c r="A15" s="3" t="s">
        <v>44</v>
      </c>
      <c r="B15" s="4">
        <v>12350</v>
      </c>
      <c r="C15" s="3">
        <v>38</v>
      </c>
      <c r="D15" s="19">
        <f>B15*C15</f>
        <v>469300</v>
      </c>
      <c r="E15" s="31"/>
      <c r="F15" s="8"/>
      <c r="G15" s="13" t="s">
        <v>110</v>
      </c>
      <c r="H15" s="13" t="s">
        <v>101</v>
      </c>
      <c r="I15" s="13">
        <v>8000</v>
      </c>
      <c r="J15" s="13">
        <v>98</v>
      </c>
      <c r="K15" s="11">
        <f t="shared" ref="K15:K22" si="0">I15*J15</f>
        <v>784000</v>
      </c>
    </row>
    <row r="16" spans="1:11" x14ac:dyDescent="0.15">
      <c r="A16" s="3" t="s">
        <v>60</v>
      </c>
      <c r="B16" s="4">
        <v>3450</v>
      </c>
      <c r="C16" s="3">
        <v>60</v>
      </c>
      <c r="D16" s="19">
        <f>B16*C16</f>
        <v>207000</v>
      </c>
      <c r="E16" s="31"/>
      <c r="F16" s="8"/>
      <c r="G16" s="13" t="s">
        <v>112</v>
      </c>
      <c r="H16" s="13" t="s">
        <v>102</v>
      </c>
      <c r="I16" s="13">
        <v>6000</v>
      </c>
      <c r="J16" s="13">
        <v>80</v>
      </c>
      <c r="K16" s="11">
        <f t="shared" si="0"/>
        <v>480000</v>
      </c>
    </row>
    <row r="17" spans="1:11" x14ac:dyDescent="0.15">
      <c r="A17" s="3" t="s">
        <v>62</v>
      </c>
      <c r="B17" s="4">
        <v>765</v>
      </c>
      <c r="C17" s="3">
        <v>100</v>
      </c>
      <c r="D17" s="19">
        <f>B17*C17</f>
        <v>76500</v>
      </c>
      <c r="E17" s="31"/>
      <c r="F17" s="8"/>
      <c r="G17" s="13" t="s">
        <v>111</v>
      </c>
      <c r="H17" s="13" t="s">
        <v>103</v>
      </c>
      <c r="I17" s="13">
        <v>5000</v>
      </c>
      <c r="J17" s="13">
        <v>78</v>
      </c>
      <c r="K17" s="11">
        <f t="shared" si="0"/>
        <v>390000</v>
      </c>
    </row>
    <row r="18" spans="1:11" x14ac:dyDescent="0.15">
      <c r="A18" s="3" t="s">
        <v>64</v>
      </c>
      <c r="B18" s="4">
        <v>7650</v>
      </c>
      <c r="C18" s="3">
        <v>77</v>
      </c>
      <c r="D18" s="19">
        <f>B18*C18</f>
        <v>589050</v>
      </c>
      <c r="E18" s="31"/>
      <c r="F18" s="8"/>
      <c r="G18" s="13" t="s">
        <v>111</v>
      </c>
      <c r="H18" s="13" t="s">
        <v>104</v>
      </c>
      <c r="I18" s="13">
        <v>5000</v>
      </c>
      <c r="J18" s="13">
        <v>87</v>
      </c>
      <c r="K18" s="11">
        <f t="shared" si="0"/>
        <v>435000</v>
      </c>
    </row>
    <row r="19" spans="1:11" x14ac:dyDescent="0.15">
      <c r="A19"/>
      <c r="B19"/>
      <c r="C19"/>
      <c r="D19"/>
      <c r="E19" s="7"/>
      <c r="F19" s="8"/>
      <c r="G19" s="13" t="s">
        <v>112</v>
      </c>
      <c r="H19" s="13" t="s">
        <v>104</v>
      </c>
      <c r="I19" s="13">
        <v>6000</v>
      </c>
      <c r="J19" s="13">
        <v>78</v>
      </c>
      <c r="K19" s="11">
        <f t="shared" si="0"/>
        <v>468000</v>
      </c>
    </row>
    <row r="20" spans="1:11" x14ac:dyDescent="0.15">
      <c r="A20" s="43" t="s">
        <v>67</v>
      </c>
      <c r="B20" s="43"/>
      <c r="C20" s="43"/>
      <c r="D20" s="43"/>
      <c r="E20" s="32"/>
      <c r="F20" s="8"/>
      <c r="G20" s="13" t="s">
        <v>110</v>
      </c>
      <c r="H20" s="13" t="s">
        <v>105</v>
      </c>
      <c r="I20" s="13">
        <v>8000</v>
      </c>
      <c r="J20" s="13">
        <v>98</v>
      </c>
      <c r="K20" s="11">
        <f t="shared" si="0"/>
        <v>784000</v>
      </c>
    </row>
    <row r="21" spans="1:11" x14ac:dyDescent="0.15">
      <c r="A21" s="3" t="s">
        <v>69</v>
      </c>
      <c r="B21" s="3">
        <v>1</v>
      </c>
      <c r="C21" s="3">
        <v>40</v>
      </c>
      <c r="D21" s="3">
        <v>70</v>
      </c>
      <c r="E21" s="33"/>
      <c r="F21" s="8"/>
      <c r="G21" s="13" t="s">
        <v>110</v>
      </c>
      <c r="H21" s="13" t="s">
        <v>103</v>
      </c>
      <c r="I21" s="13">
        <v>8000</v>
      </c>
      <c r="J21" s="13">
        <v>89</v>
      </c>
      <c r="K21" s="11">
        <f t="shared" si="0"/>
        <v>712000</v>
      </c>
    </row>
    <row r="22" spans="1:11" x14ac:dyDescent="0.15">
      <c r="A22" s="20" t="s">
        <v>71</v>
      </c>
      <c r="B22" s="21">
        <v>0</v>
      </c>
      <c r="C22" s="22">
        <v>0.03</v>
      </c>
      <c r="D22" s="22">
        <v>0.06</v>
      </c>
      <c r="E22" s="33"/>
      <c r="F22" s="8"/>
      <c r="G22" s="13" t="s">
        <v>111</v>
      </c>
      <c r="H22" s="13" t="s">
        <v>105</v>
      </c>
      <c r="I22" s="13">
        <v>5000</v>
      </c>
      <c r="J22" s="13">
        <v>97</v>
      </c>
      <c r="K22" s="11">
        <f t="shared" si="0"/>
        <v>485000</v>
      </c>
    </row>
    <row r="23" spans="1:11" x14ac:dyDescent="0.15">
      <c r="C23"/>
      <c r="D23"/>
      <c r="E23" s="7"/>
      <c r="F23" s="8"/>
      <c r="H23" s="37" t="s">
        <v>209</v>
      </c>
    </row>
    <row r="24" spans="1:11" x14ac:dyDescent="0.15">
      <c r="A24" s="16" t="s">
        <v>98</v>
      </c>
      <c r="B24" s="16" t="s">
        <v>115</v>
      </c>
      <c r="C24" s="17"/>
      <c r="D24" s="17"/>
      <c r="E24" s="17"/>
      <c r="H24" s="36"/>
    </row>
    <row r="25" spans="1:11" x14ac:dyDescent="0.15">
      <c r="A25" s="3" t="s">
        <v>36</v>
      </c>
      <c r="B25" s="3" t="s">
        <v>116</v>
      </c>
      <c r="C25" s="3" t="s">
        <v>117</v>
      </c>
      <c r="D25" s="20" t="s">
        <v>118</v>
      </c>
      <c r="E25" s="18" t="s">
        <v>120</v>
      </c>
      <c r="F25" s="10" t="s">
        <v>119</v>
      </c>
    </row>
    <row r="26" spans="1:11" x14ac:dyDescent="0.15">
      <c r="A26" s="3" t="s">
        <v>43</v>
      </c>
      <c r="B26" s="3">
        <v>78</v>
      </c>
      <c r="C26" s="3">
        <v>65</v>
      </c>
      <c r="D26" s="3">
        <v>64</v>
      </c>
      <c r="E26" s="3">
        <f>AVERAGE(B26:D26)</f>
        <v>69</v>
      </c>
      <c r="F26" s="18"/>
    </row>
    <row r="27" spans="1:11" x14ac:dyDescent="0.15">
      <c r="A27" s="3" t="s">
        <v>45</v>
      </c>
      <c r="B27" s="3">
        <v>49</v>
      </c>
      <c r="C27" s="3">
        <v>50</v>
      </c>
      <c r="D27" s="3">
        <v>57</v>
      </c>
      <c r="E27" s="3">
        <f t="shared" ref="E27:E33" si="1">AVERAGE(B27:D27)</f>
        <v>52</v>
      </c>
      <c r="F27" s="18"/>
    </row>
    <row r="28" spans="1:11" x14ac:dyDescent="0.15">
      <c r="A28" s="3" t="s">
        <v>61</v>
      </c>
      <c r="B28" s="3">
        <v>66</v>
      </c>
      <c r="C28" s="3">
        <v>54</v>
      </c>
      <c r="D28" s="3">
        <v>87</v>
      </c>
      <c r="E28" s="3">
        <f t="shared" si="1"/>
        <v>69</v>
      </c>
      <c r="F28" s="18"/>
    </row>
    <row r="29" spans="1:11" x14ac:dyDescent="0.15">
      <c r="A29" s="3" t="s">
        <v>63</v>
      </c>
      <c r="B29" s="3">
        <v>48</v>
      </c>
      <c r="C29" s="3">
        <v>70</v>
      </c>
      <c r="D29" s="3">
        <v>74</v>
      </c>
      <c r="E29" s="3">
        <f t="shared" si="1"/>
        <v>64</v>
      </c>
      <c r="F29" s="18"/>
    </row>
    <row r="30" spans="1:11" x14ac:dyDescent="0.15">
      <c r="A30" s="3" t="s">
        <v>65</v>
      </c>
      <c r="B30" s="3">
        <v>80</v>
      </c>
      <c r="C30" s="3">
        <v>60</v>
      </c>
      <c r="D30" s="3">
        <v>70</v>
      </c>
      <c r="E30" s="3">
        <f t="shared" si="1"/>
        <v>70</v>
      </c>
      <c r="F30" s="18"/>
    </row>
    <row r="31" spans="1:11" x14ac:dyDescent="0.15">
      <c r="A31" s="3" t="s">
        <v>66</v>
      </c>
      <c r="B31" s="3">
        <v>50</v>
      </c>
      <c r="C31" s="3">
        <v>58</v>
      </c>
      <c r="D31" s="3">
        <v>48</v>
      </c>
      <c r="E31" s="3">
        <f t="shared" si="1"/>
        <v>52</v>
      </c>
      <c r="F31" s="18"/>
    </row>
    <row r="32" spans="1:11" x14ac:dyDescent="0.15">
      <c r="A32" s="3" t="s">
        <v>68</v>
      </c>
      <c r="B32" s="3">
        <v>89</v>
      </c>
      <c r="C32" s="3">
        <v>75</v>
      </c>
      <c r="D32" s="3">
        <v>55</v>
      </c>
      <c r="E32" s="3">
        <f t="shared" si="1"/>
        <v>73</v>
      </c>
      <c r="F32" s="18"/>
    </row>
    <row r="33" spans="1:6" x14ac:dyDescent="0.15">
      <c r="A33" s="3" t="s">
        <v>70</v>
      </c>
      <c r="B33" s="3">
        <v>78</v>
      </c>
      <c r="C33" s="3">
        <v>69</v>
      </c>
      <c r="D33" s="3">
        <v>39</v>
      </c>
      <c r="E33" s="3">
        <f t="shared" si="1"/>
        <v>62</v>
      </c>
      <c r="F33" s="18"/>
    </row>
  </sheetData>
  <mergeCells count="10">
    <mergeCell ref="A20:D20"/>
    <mergeCell ref="G2:H2"/>
    <mergeCell ref="G3:H3"/>
    <mergeCell ref="G4:H4"/>
    <mergeCell ref="G5:H5"/>
    <mergeCell ref="G6:H6"/>
    <mergeCell ref="G7:H7"/>
    <mergeCell ref="G8:H8"/>
    <mergeCell ref="G10:H10"/>
    <mergeCell ref="G9:H9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sqref="A1:F1"/>
    </sheetView>
  </sheetViews>
  <sheetFormatPr defaultRowHeight="13.5" x14ac:dyDescent="0.15"/>
  <cols>
    <col min="1" max="1" width="11.6640625" bestFit="1" customWidth="1"/>
    <col min="2" max="2" width="15.33203125" customWidth="1"/>
    <col min="3" max="3" width="11.21875" customWidth="1"/>
    <col min="4" max="4" width="9.88671875" bestFit="1" customWidth="1"/>
    <col min="5" max="5" width="12.6640625" bestFit="1" customWidth="1"/>
    <col min="6" max="6" width="11.5546875" bestFit="1" customWidth="1"/>
    <col min="12" max="12" width="10.5546875" customWidth="1"/>
  </cols>
  <sheetData>
    <row r="1" spans="1:6" ht="20.25" x14ac:dyDescent="0.25">
      <c r="A1" s="48" t="s">
        <v>132</v>
      </c>
      <c r="B1" s="48"/>
      <c r="C1" s="48"/>
      <c r="D1" s="48"/>
      <c r="E1" s="48"/>
      <c r="F1" s="48"/>
    </row>
    <row r="2" spans="1:6" x14ac:dyDescent="0.15">
      <c r="A2" s="3" t="s">
        <v>10</v>
      </c>
      <c r="B2" s="3" t="s">
        <v>11</v>
      </c>
      <c r="C2" s="3" t="s">
        <v>5</v>
      </c>
      <c r="D2" s="3" t="s">
        <v>12</v>
      </c>
      <c r="E2" s="3" t="s">
        <v>13</v>
      </c>
      <c r="F2" s="3" t="s">
        <v>14</v>
      </c>
    </row>
    <row r="3" spans="1:6" x14ac:dyDescent="0.15">
      <c r="A3" s="3" t="s">
        <v>125</v>
      </c>
      <c r="B3" s="3" t="s">
        <v>15</v>
      </c>
      <c r="C3" s="24">
        <v>156</v>
      </c>
      <c r="D3" s="4">
        <v>135000</v>
      </c>
      <c r="E3" s="29">
        <f>D3*C3</f>
        <v>21060000</v>
      </c>
      <c r="F3" s="30">
        <f>E3*10%</f>
        <v>2106000</v>
      </c>
    </row>
    <row r="4" spans="1:6" x14ac:dyDescent="0.15">
      <c r="A4" s="3" t="s">
        <v>126</v>
      </c>
      <c r="B4" s="3" t="s">
        <v>15</v>
      </c>
      <c r="C4" s="24">
        <v>44</v>
      </c>
      <c r="D4" s="4">
        <v>135000</v>
      </c>
      <c r="E4" s="29">
        <f t="shared" ref="E4:E17" si="0">D4*C4</f>
        <v>5940000</v>
      </c>
      <c r="F4" s="30">
        <f t="shared" ref="F4:F17" si="1">E4*10%</f>
        <v>594000</v>
      </c>
    </row>
    <row r="5" spans="1:6" x14ac:dyDescent="0.15">
      <c r="A5" s="3" t="s">
        <v>122</v>
      </c>
      <c r="B5" s="3" t="s">
        <v>15</v>
      </c>
      <c r="C5" s="24">
        <v>142</v>
      </c>
      <c r="D5" s="4">
        <v>135000</v>
      </c>
      <c r="E5" s="29">
        <f t="shared" si="0"/>
        <v>19170000</v>
      </c>
      <c r="F5" s="30">
        <f t="shared" si="1"/>
        <v>1917000</v>
      </c>
    </row>
    <row r="6" spans="1:6" x14ac:dyDescent="0.15">
      <c r="A6" s="3" t="s">
        <v>124</v>
      </c>
      <c r="B6" s="3" t="s">
        <v>15</v>
      </c>
      <c r="C6" s="24">
        <v>55</v>
      </c>
      <c r="D6" s="4">
        <v>135000</v>
      </c>
      <c r="E6" s="29">
        <f t="shared" si="0"/>
        <v>7425000</v>
      </c>
      <c r="F6" s="30">
        <f t="shared" si="1"/>
        <v>742500</v>
      </c>
    </row>
    <row r="7" spans="1:6" x14ac:dyDescent="0.15">
      <c r="A7" s="3" t="s">
        <v>121</v>
      </c>
      <c r="B7" s="3" t="s">
        <v>15</v>
      </c>
      <c r="C7" s="24">
        <v>345</v>
      </c>
      <c r="D7" s="4">
        <v>135000</v>
      </c>
      <c r="E7" s="29">
        <f t="shared" si="0"/>
        <v>46575000</v>
      </c>
      <c r="F7" s="30">
        <f t="shared" si="1"/>
        <v>4657500</v>
      </c>
    </row>
    <row r="8" spans="1:6" x14ac:dyDescent="0.15">
      <c r="A8" s="3" t="s">
        <v>125</v>
      </c>
      <c r="B8" s="3" t="s">
        <v>128</v>
      </c>
      <c r="C8" s="24">
        <v>100</v>
      </c>
      <c r="D8" s="4">
        <v>225000</v>
      </c>
      <c r="E8" s="29">
        <f t="shared" si="0"/>
        <v>22500000</v>
      </c>
      <c r="F8" s="30">
        <f t="shared" si="1"/>
        <v>2250000</v>
      </c>
    </row>
    <row r="9" spans="1:6" x14ac:dyDescent="0.15">
      <c r="A9" s="3" t="s">
        <v>129</v>
      </c>
      <c r="B9" s="3" t="s">
        <v>130</v>
      </c>
      <c r="C9" s="24">
        <v>43</v>
      </c>
      <c r="D9" s="4">
        <v>225000</v>
      </c>
      <c r="E9" s="29">
        <f t="shared" si="0"/>
        <v>9675000</v>
      </c>
      <c r="F9" s="30">
        <f t="shared" si="1"/>
        <v>967500</v>
      </c>
    </row>
    <row r="10" spans="1:6" x14ac:dyDescent="0.15">
      <c r="A10" s="3" t="s">
        <v>122</v>
      </c>
      <c r="B10" s="3" t="s">
        <v>127</v>
      </c>
      <c r="C10" s="24">
        <v>22</v>
      </c>
      <c r="D10" s="4">
        <v>225000</v>
      </c>
      <c r="E10" s="29">
        <f t="shared" si="0"/>
        <v>4950000</v>
      </c>
      <c r="F10" s="30">
        <f t="shared" si="1"/>
        <v>495000</v>
      </c>
    </row>
    <row r="11" spans="1:6" x14ac:dyDescent="0.15">
      <c r="A11" s="3" t="s">
        <v>124</v>
      </c>
      <c r="B11" s="3" t="s">
        <v>127</v>
      </c>
      <c r="C11" s="24">
        <v>111</v>
      </c>
      <c r="D11" s="4">
        <v>225000</v>
      </c>
      <c r="E11" s="29">
        <f t="shared" si="0"/>
        <v>24975000</v>
      </c>
      <c r="F11" s="30">
        <f t="shared" si="1"/>
        <v>2497500</v>
      </c>
    </row>
    <row r="12" spans="1:6" x14ac:dyDescent="0.15">
      <c r="A12" s="3" t="s">
        <v>121</v>
      </c>
      <c r="B12" s="3" t="s">
        <v>127</v>
      </c>
      <c r="C12" s="24">
        <v>200</v>
      </c>
      <c r="D12" s="4">
        <v>225000</v>
      </c>
      <c r="E12" s="29">
        <f t="shared" si="0"/>
        <v>45000000</v>
      </c>
      <c r="F12" s="30">
        <f t="shared" si="1"/>
        <v>4500000</v>
      </c>
    </row>
    <row r="13" spans="1:6" x14ac:dyDescent="0.15">
      <c r="A13" s="18" t="s">
        <v>125</v>
      </c>
      <c r="B13" s="18" t="s">
        <v>123</v>
      </c>
      <c r="C13" s="25">
        <v>112</v>
      </c>
      <c r="D13" s="29">
        <v>155000</v>
      </c>
      <c r="E13" s="29">
        <f t="shared" si="0"/>
        <v>17360000</v>
      </c>
      <c r="F13" s="30">
        <f t="shared" si="1"/>
        <v>1736000</v>
      </c>
    </row>
    <row r="14" spans="1:6" x14ac:dyDescent="0.15">
      <c r="A14" s="3" t="s">
        <v>126</v>
      </c>
      <c r="B14" s="3" t="s">
        <v>123</v>
      </c>
      <c r="C14" s="24">
        <v>18</v>
      </c>
      <c r="D14" s="29">
        <v>155000</v>
      </c>
      <c r="E14" s="29">
        <f t="shared" si="0"/>
        <v>2790000</v>
      </c>
      <c r="F14" s="30">
        <f t="shared" si="1"/>
        <v>279000</v>
      </c>
    </row>
    <row r="15" spans="1:6" x14ac:dyDescent="0.15">
      <c r="A15" s="3" t="s">
        <v>122</v>
      </c>
      <c r="B15" s="3" t="s">
        <v>123</v>
      </c>
      <c r="C15" s="24">
        <v>100</v>
      </c>
      <c r="D15" s="29">
        <v>155000</v>
      </c>
      <c r="E15" s="29">
        <f t="shared" si="0"/>
        <v>15500000</v>
      </c>
      <c r="F15" s="30">
        <f t="shared" si="1"/>
        <v>1550000</v>
      </c>
    </row>
    <row r="16" spans="1:6" x14ac:dyDescent="0.15">
      <c r="A16" s="3" t="s">
        <v>124</v>
      </c>
      <c r="B16" s="3" t="s">
        <v>123</v>
      </c>
      <c r="C16" s="24">
        <v>13</v>
      </c>
      <c r="D16" s="29">
        <v>155000</v>
      </c>
      <c r="E16" s="29">
        <f t="shared" si="0"/>
        <v>2015000</v>
      </c>
      <c r="F16" s="30">
        <f t="shared" si="1"/>
        <v>201500</v>
      </c>
    </row>
    <row r="17" spans="1:6" x14ac:dyDescent="0.15">
      <c r="A17" s="3" t="s">
        <v>121</v>
      </c>
      <c r="B17" s="3" t="s">
        <v>131</v>
      </c>
      <c r="C17" s="24">
        <v>23</v>
      </c>
      <c r="D17" s="29">
        <v>155000</v>
      </c>
      <c r="E17" s="29">
        <f t="shared" si="0"/>
        <v>3565000</v>
      </c>
      <c r="F17" s="30">
        <f t="shared" si="1"/>
        <v>356500</v>
      </c>
    </row>
  </sheetData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4"/>
  <sheetViews>
    <sheetView workbookViewId="0">
      <selection sqref="A1:F1"/>
    </sheetView>
  </sheetViews>
  <sheetFormatPr defaultRowHeight="13.5" x14ac:dyDescent="0.15"/>
  <cols>
    <col min="4" max="4" width="11.5546875" bestFit="1" customWidth="1"/>
    <col min="6" max="6" width="12.6640625" bestFit="1" customWidth="1"/>
  </cols>
  <sheetData>
    <row r="1" spans="1:6" x14ac:dyDescent="0.15">
      <c r="A1" s="49" t="s">
        <v>133</v>
      </c>
      <c r="B1" s="49"/>
      <c r="C1" s="49"/>
      <c r="D1" s="49"/>
      <c r="E1" s="49"/>
      <c r="F1" s="49"/>
    </row>
    <row r="3" spans="1:6" x14ac:dyDescent="0.15">
      <c r="A3" s="3" t="s">
        <v>134</v>
      </c>
      <c r="B3" s="38" t="s">
        <v>135</v>
      </c>
      <c r="C3" s="38" t="s">
        <v>136</v>
      </c>
      <c r="D3" s="38" t="s">
        <v>137</v>
      </c>
      <c r="E3" s="38" t="s">
        <v>138</v>
      </c>
      <c r="F3" s="38" t="s">
        <v>139</v>
      </c>
    </row>
    <row r="4" spans="1:6" x14ac:dyDescent="0.15">
      <c r="A4" s="3" t="s">
        <v>140</v>
      </c>
      <c r="B4" s="3" t="s">
        <v>141</v>
      </c>
      <c r="C4" s="3" t="s">
        <v>142</v>
      </c>
      <c r="D4" s="39">
        <v>45000</v>
      </c>
      <c r="E4" s="39">
        <v>50</v>
      </c>
      <c r="F4" s="40">
        <f>D4*E4</f>
        <v>2250000</v>
      </c>
    </row>
    <row r="5" spans="1:6" x14ac:dyDescent="0.15">
      <c r="A5" s="3" t="s">
        <v>143</v>
      </c>
      <c r="B5" s="3" t="s">
        <v>144</v>
      </c>
      <c r="C5" s="3" t="s">
        <v>158</v>
      </c>
      <c r="D5" s="39">
        <v>150000</v>
      </c>
      <c r="E5" s="39">
        <v>10</v>
      </c>
      <c r="F5" s="40">
        <f t="shared" ref="F5:F14" si="0">D5*E5</f>
        <v>1500000</v>
      </c>
    </row>
    <row r="6" spans="1:6" x14ac:dyDescent="0.15">
      <c r="A6" s="3" t="s">
        <v>140</v>
      </c>
      <c r="B6" s="3" t="s">
        <v>145</v>
      </c>
      <c r="C6" s="3" t="s">
        <v>146</v>
      </c>
      <c r="D6" s="39">
        <v>65000</v>
      </c>
      <c r="E6" s="39">
        <v>120</v>
      </c>
      <c r="F6" s="40">
        <f t="shared" si="0"/>
        <v>7800000</v>
      </c>
    </row>
    <row r="7" spans="1:6" x14ac:dyDescent="0.15">
      <c r="A7" s="3" t="s">
        <v>143</v>
      </c>
      <c r="B7" s="3" t="s">
        <v>147</v>
      </c>
      <c r="C7" s="3" t="s">
        <v>163</v>
      </c>
      <c r="D7" s="39">
        <v>260000</v>
      </c>
      <c r="E7" s="39">
        <v>27</v>
      </c>
      <c r="F7" s="40">
        <f t="shared" si="0"/>
        <v>7020000</v>
      </c>
    </row>
    <row r="8" spans="1:6" x14ac:dyDescent="0.15">
      <c r="A8" s="3" t="s">
        <v>148</v>
      </c>
      <c r="B8" s="3" t="s">
        <v>149</v>
      </c>
      <c r="C8" s="3" t="s">
        <v>150</v>
      </c>
      <c r="D8" s="39">
        <v>2500000</v>
      </c>
      <c r="E8" s="39">
        <v>5</v>
      </c>
      <c r="F8" s="40">
        <f t="shared" si="0"/>
        <v>12500000</v>
      </c>
    </row>
    <row r="9" spans="1:6" x14ac:dyDescent="0.15">
      <c r="A9" s="3" t="s">
        <v>148</v>
      </c>
      <c r="B9" s="3" t="s">
        <v>151</v>
      </c>
      <c r="C9" s="3" t="s">
        <v>152</v>
      </c>
      <c r="D9" s="39">
        <v>580000</v>
      </c>
      <c r="E9" s="39">
        <v>13</v>
      </c>
      <c r="F9" s="40">
        <f t="shared" si="0"/>
        <v>7540000</v>
      </c>
    </row>
    <row r="10" spans="1:6" x14ac:dyDescent="0.15">
      <c r="A10" s="3" t="s">
        <v>140</v>
      </c>
      <c r="B10" s="3" t="s">
        <v>153</v>
      </c>
      <c r="C10" s="3" t="s">
        <v>159</v>
      </c>
      <c r="D10" s="39">
        <v>42000</v>
      </c>
      <c r="E10" s="39">
        <v>150</v>
      </c>
      <c r="F10" s="40">
        <f t="shared" si="0"/>
        <v>6300000</v>
      </c>
    </row>
    <row r="11" spans="1:6" x14ac:dyDescent="0.15">
      <c r="A11" s="3" t="s">
        <v>148</v>
      </c>
      <c r="B11" s="3" t="s">
        <v>151</v>
      </c>
      <c r="C11" s="3" t="s">
        <v>160</v>
      </c>
      <c r="D11" s="39">
        <v>1250000</v>
      </c>
      <c r="E11" s="39">
        <v>6</v>
      </c>
      <c r="F11" s="40">
        <f t="shared" si="0"/>
        <v>7500000</v>
      </c>
    </row>
    <row r="12" spans="1:6" x14ac:dyDescent="0.15">
      <c r="A12" s="18" t="s">
        <v>148</v>
      </c>
      <c r="B12" s="18" t="s">
        <v>154</v>
      </c>
      <c r="C12" s="18" t="s">
        <v>162</v>
      </c>
      <c r="D12" s="41">
        <v>3250000</v>
      </c>
      <c r="E12" s="41">
        <v>4</v>
      </c>
      <c r="F12" s="40">
        <f t="shared" si="0"/>
        <v>13000000</v>
      </c>
    </row>
    <row r="13" spans="1:6" x14ac:dyDescent="0.15">
      <c r="A13" s="18" t="s">
        <v>140</v>
      </c>
      <c r="B13" s="18" t="s">
        <v>155</v>
      </c>
      <c r="C13" s="18" t="s">
        <v>161</v>
      </c>
      <c r="D13" s="41">
        <v>62000</v>
      </c>
      <c r="E13" s="41">
        <v>70</v>
      </c>
      <c r="F13" s="40">
        <f t="shared" si="0"/>
        <v>4340000</v>
      </c>
    </row>
    <row r="14" spans="1:6" x14ac:dyDescent="0.15">
      <c r="A14" s="18" t="s">
        <v>143</v>
      </c>
      <c r="B14" s="18" t="s">
        <v>156</v>
      </c>
      <c r="C14" s="18" t="s">
        <v>157</v>
      </c>
      <c r="D14" s="41">
        <v>250000</v>
      </c>
      <c r="E14" s="41">
        <v>25</v>
      </c>
      <c r="F14" s="40">
        <f t="shared" si="0"/>
        <v>6250000</v>
      </c>
    </row>
  </sheetData>
  <dataConsolidate/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"/>
  <sheetViews>
    <sheetView workbookViewId="0"/>
  </sheetViews>
  <sheetFormatPr defaultRowHeight="13.5" x14ac:dyDescent="0.15"/>
  <cols>
    <col min="1" max="1" width="9.109375" customWidth="1"/>
    <col min="2" max="2" width="7.77734375" customWidth="1"/>
    <col min="3" max="3" width="9.88671875" bestFit="1" customWidth="1"/>
    <col min="4" max="4" width="7.44140625" customWidth="1"/>
    <col min="5" max="5" width="10.109375" customWidth="1"/>
    <col min="6" max="6" width="11.21875" customWidth="1"/>
  </cols>
  <sheetData>
    <row r="1" spans="1:6" x14ac:dyDescent="0.15">
      <c r="A1" s="8" t="s">
        <v>46</v>
      </c>
      <c r="B1" s="8"/>
      <c r="C1" s="8"/>
      <c r="D1" s="8"/>
      <c r="E1" s="8"/>
    </row>
    <row r="2" spans="1:6" x14ac:dyDescent="0.15">
      <c r="A2" s="13" t="s">
        <v>16</v>
      </c>
      <c r="B2" s="13" t="s">
        <v>36</v>
      </c>
      <c r="C2" s="13" t="s">
        <v>17</v>
      </c>
      <c r="D2" s="13" t="s">
        <v>18</v>
      </c>
      <c r="E2" s="13" t="s">
        <v>19</v>
      </c>
      <c r="F2" s="3" t="s">
        <v>20</v>
      </c>
    </row>
    <row r="3" spans="1:6" x14ac:dyDescent="0.15">
      <c r="A3" s="13">
        <v>2003201</v>
      </c>
      <c r="B3" s="13" t="s">
        <v>199</v>
      </c>
      <c r="C3" s="13">
        <v>88</v>
      </c>
      <c r="D3" s="13">
        <v>100</v>
      </c>
      <c r="E3" s="26">
        <v>94</v>
      </c>
      <c r="F3" s="3" t="s">
        <v>200</v>
      </c>
    </row>
    <row r="4" spans="1:6" x14ac:dyDescent="0.15">
      <c r="A4" s="13">
        <v>2003202</v>
      </c>
      <c r="B4" s="26" t="s">
        <v>201</v>
      </c>
      <c r="C4" s="13">
        <v>78</v>
      </c>
      <c r="D4" s="13">
        <v>45</v>
      </c>
      <c r="E4" s="26">
        <v>61.5</v>
      </c>
      <c r="F4" s="3" t="s">
        <v>202</v>
      </c>
    </row>
    <row r="5" spans="1:6" x14ac:dyDescent="0.15">
      <c r="A5" s="13">
        <v>2003203</v>
      </c>
      <c r="B5" s="26" t="s">
        <v>203</v>
      </c>
      <c r="C5" s="13">
        <v>90</v>
      </c>
      <c r="D5" s="13">
        <v>90</v>
      </c>
      <c r="E5" s="26">
        <v>90</v>
      </c>
      <c r="F5" s="3" t="s">
        <v>200</v>
      </c>
    </row>
    <row r="6" spans="1:6" x14ac:dyDescent="0.15">
      <c r="A6" s="13">
        <v>2003204</v>
      </c>
      <c r="B6" s="26" t="s">
        <v>204</v>
      </c>
      <c r="C6" s="13">
        <v>78</v>
      </c>
      <c r="D6" s="13">
        <v>94</v>
      </c>
      <c r="E6" s="26">
        <v>86</v>
      </c>
      <c r="F6" s="3" t="s">
        <v>205</v>
      </c>
    </row>
    <row r="7" spans="1:6" x14ac:dyDescent="0.15">
      <c r="A7" s="13">
        <v>2003205</v>
      </c>
      <c r="B7" s="13" t="s">
        <v>206</v>
      </c>
      <c r="C7" s="13">
        <v>55</v>
      </c>
      <c r="D7" s="13">
        <v>87</v>
      </c>
      <c r="E7" s="26">
        <v>71</v>
      </c>
      <c r="F7" s="3" t="s">
        <v>207</v>
      </c>
    </row>
    <row r="8" spans="1:6" x14ac:dyDescent="0.15">
      <c r="A8" s="13">
        <v>2003206</v>
      </c>
      <c r="B8" s="13" t="s">
        <v>208</v>
      </c>
      <c r="C8" s="13">
        <v>100</v>
      </c>
      <c r="D8" s="13">
        <v>92</v>
      </c>
      <c r="E8" s="26">
        <v>96</v>
      </c>
      <c r="F8" s="3" t="s">
        <v>200</v>
      </c>
    </row>
    <row r="9" spans="1:6" x14ac:dyDescent="0.15">
      <c r="A9" s="50" t="s">
        <v>177</v>
      </c>
      <c r="B9" s="51"/>
      <c r="C9" s="27"/>
      <c r="D9" s="27"/>
      <c r="E9" s="27"/>
      <c r="F9" s="28"/>
    </row>
  </sheetData>
  <mergeCells count="1">
    <mergeCell ref="A9:B9"/>
  </mergeCells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/>
  </sheetViews>
  <sheetFormatPr defaultRowHeight="13.5" x14ac:dyDescent="0.15"/>
  <cols>
    <col min="1" max="1" width="9.109375" customWidth="1"/>
    <col min="2" max="2" width="7.77734375" customWidth="1"/>
    <col min="3" max="3" width="9.88671875" bestFit="1" customWidth="1"/>
    <col min="4" max="4" width="7.44140625" customWidth="1"/>
    <col min="5" max="5" width="10.109375" customWidth="1"/>
    <col min="6" max="6" width="11.21875" customWidth="1"/>
  </cols>
  <sheetData>
    <row r="1" spans="1:5" x14ac:dyDescent="0.15">
      <c r="A1" t="s">
        <v>164</v>
      </c>
    </row>
    <row r="2" spans="1:5" x14ac:dyDescent="0.15">
      <c r="E2" t="s">
        <v>165</v>
      </c>
    </row>
    <row r="3" spans="1:5" x14ac:dyDescent="0.15">
      <c r="A3" s="3" t="s">
        <v>166</v>
      </c>
      <c r="B3" s="3" t="s">
        <v>167</v>
      </c>
      <c r="C3" s="3" t="s">
        <v>168</v>
      </c>
      <c r="D3" s="3" t="s">
        <v>169</v>
      </c>
      <c r="E3" s="3" t="s">
        <v>21</v>
      </c>
    </row>
    <row r="4" spans="1:5" x14ac:dyDescent="0.15">
      <c r="A4" s="3" t="s">
        <v>170</v>
      </c>
      <c r="B4" s="3">
        <v>88</v>
      </c>
      <c r="C4" s="4">
        <v>985600</v>
      </c>
      <c r="D4" s="3">
        <v>83</v>
      </c>
      <c r="E4" s="4">
        <v>929600</v>
      </c>
    </row>
    <row r="5" spans="1:5" x14ac:dyDescent="0.15">
      <c r="A5" s="3" t="s">
        <v>171</v>
      </c>
      <c r="B5" s="3">
        <v>77</v>
      </c>
      <c r="C5" s="4">
        <v>862400</v>
      </c>
      <c r="D5" s="3">
        <v>68</v>
      </c>
      <c r="E5" s="4">
        <v>761600</v>
      </c>
    </row>
    <row r="6" spans="1:5" x14ac:dyDescent="0.15">
      <c r="A6" s="3" t="s">
        <v>172</v>
      </c>
      <c r="B6" s="3">
        <v>57</v>
      </c>
      <c r="C6" s="4">
        <v>638400</v>
      </c>
      <c r="D6" s="3">
        <v>56</v>
      </c>
      <c r="E6" s="4">
        <v>627200</v>
      </c>
    </row>
    <row r="7" spans="1:5" x14ac:dyDescent="0.15">
      <c r="A7" s="3" t="s">
        <v>173</v>
      </c>
      <c r="B7" s="3">
        <v>29</v>
      </c>
      <c r="C7" s="4">
        <v>324800</v>
      </c>
      <c r="D7" s="3">
        <v>23</v>
      </c>
      <c r="E7" s="4">
        <v>257600</v>
      </c>
    </row>
    <row r="8" spans="1:5" x14ac:dyDescent="0.15">
      <c r="A8" s="3" t="s">
        <v>174</v>
      </c>
      <c r="B8" s="3">
        <v>74</v>
      </c>
      <c r="C8" s="4">
        <v>828800</v>
      </c>
      <c r="D8" s="3">
        <v>60</v>
      </c>
      <c r="E8" s="4">
        <v>672000</v>
      </c>
    </row>
    <row r="9" spans="1:5" x14ac:dyDescent="0.15">
      <c r="A9" s="18" t="s">
        <v>175</v>
      </c>
      <c r="B9" s="3">
        <v>67</v>
      </c>
      <c r="C9" s="4">
        <v>750400</v>
      </c>
      <c r="D9" s="3">
        <v>50</v>
      </c>
      <c r="E9" s="4">
        <v>560000</v>
      </c>
    </row>
    <row r="10" spans="1:5" x14ac:dyDescent="0.15">
      <c r="A10" s="18" t="s">
        <v>176</v>
      </c>
      <c r="B10" s="3">
        <v>86</v>
      </c>
      <c r="C10" s="4">
        <v>963200</v>
      </c>
      <c r="D10" s="3">
        <v>85</v>
      </c>
      <c r="E10" s="4">
        <v>952000</v>
      </c>
    </row>
  </sheetData>
  <phoneticPr fontId="2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'기본작업-3'!MS_Access_Database_Query</vt:lpstr>
      <vt:lpstr>'분석작업-1'!MS_Access_Database_Query_3</vt:lpstr>
      <vt:lpstr>'분석작업-1'!MS_Access_Database_Query_4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</dc:creator>
  <cp:lastModifiedBy>ck</cp:lastModifiedBy>
  <dcterms:created xsi:type="dcterms:W3CDTF">2004-05-11T08:11:07Z</dcterms:created>
  <dcterms:modified xsi:type="dcterms:W3CDTF">2013-12-28T05:18:11Z</dcterms:modified>
</cp:coreProperties>
</file>