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45" yWindow="-75" windowWidth="16560" windowHeight="10245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25725"/>
  <pivotCaches>
    <pivotCache cacheId="8" r:id="rId9"/>
  </pivotCaches>
</workbook>
</file>

<file path=xl/calcChain.xml><?xml version="1.0" encoding="utf-8"?>
<calcChain xmlns="http://schemas.openxmlformats.org/spreadsheetml/2006/main">
  <c r="D9" i="7"/>
  <c r="E9"/>
  <c r="C9"/>
  <c r="F27" i="4"/>
  <c r="F28"/>
  <c r="F29"/>
  <c r="F30"/>
  <c r="F31"/>
  <c r="F32"/>
  <c r="F33"/>
  <c r="F26"/>
  <c r="H24"/>
  <c r="E15"/>
  <c r="E16"/>
  <c r="E17"/>
  <c r="E18"/>
  <c r="E14"/>
  <c r="K3"/>
  <c r="K4"/>
  <c r="K5"/>
  <c r="K6"/>
  <c r="K7"/>
  <c r="K8"/>
  <c r="K9"/>
  <c r="K10"/>
  <c r="D3"/>
  <c r="D4"/>
  <c r="D5"/>
  <c r="D6"/>
  <c r="D7"/>
  <c r="D8"/>
  <c r="D9"/>
  <c r="D10"/>
  <c r="F5" i="6"/>
  <c r="F6"/>
  <c r="F7"/>
  <c r="F8"/>
  <c r="F9"/>
  <c r="F10"/>
  <c r="F11"/>
  <c r="F12"/>
  <c r="F13"/>
  <c r="F14"/>
  <c r="F4"/>
  <c r="E4" i="5"/>
  <c r="F4"/>
  <c r="E5"/>
  <c r="F5"/>
  <c r="E6"/>
  <c r="F6"/>
  <c r="E7"/>
  <c r="F7"/>
  <c r="E8"/>
  <c r="F8"/>
  <c r="E9"/>
  <c r="F9"/>
  <c r="E10"/>
  <c r="F10"/>
  <c r="E11"/>
  <c r="F11"/>
  <c r="E12"/>
  <c r="F12"/>
  <c r="E13"/>
  <c r="F13"/>
  <c r="E14"/>
  <c r="F14"/>
  <c r="E15"/>
  <c r="F15"/>
  <c r="E16"/>
  <c r="F16"/>
  <c r="E17"/>
  <c r="F17"/>
  <c r="E3"/>
  <c r="F3"/>
  <c r="E27" i="4"/>
  <c r="E28"/>
  <c r="E29"/>
  <c r="E30"/>
  <c r="E31"/>
  <c r="E32"/>
  <c r="E33"/>
  <c r="E26"/>
  <c r="K14"/>
  <c r="K20"/>
  <c r="K22"/>
  <c r="K15"/>
  <c r="K16"/>
  <c r="K17"/>
  <c r="K18"/>
  <c r="K19"/>
  <c r="K21"/>
  <c r="D15"/>
  <c r="D16"/>
  <c r="D17"/>
  <c r="D18"/>
  <c r="D14"/>
  <c r="F5" i="3"/>
  <c r="G5"/>
  <c r="F6"/>
  <c r="G6"/>
  <c r="F7"/>
  <c r="G7"/>
  <c r="F8"/>
  <c r="G8"/>
  <c r="F9"/>
  <c r="G9"/>
  <c r="F10"/>
  <c r="G10"/>
  <c r="F11"/>
  <c r="G11"/>
  <c r="F4"/>
  <c r="G4"/>
</calcChain>
</file>

<file path=xl/sharedStrings.xml><?xml version="1.0" encoding="utf-8"?>
<sst xmlns="http://schemas.openxmlformats.org/spreadsheetml/2006/main" count="320" uniqueCount="265">
  <si>
    <t>담당자</t>
  </si>
  <si>
    <t>일자</t>
  </si>
  <si>
    <t>판매 대상</t>
  </si>
  <si>
    <t>도서명</t>
  </si>
  <si>
    <t>도서단가</t>
  </si>
  <si>
    <t>수량</t>
  </si>
  <si>
    <t>할인율</t>
  </si>
  <si>
    <t>판매금액</t>
  </si>
  <si>
    <t>실공급액</t>
  </si>
  <si>
    <t>학교</t>
  </si>
  <si>
    <t>거래처명</t>
  </si>
  <si>
    <t>제품명</t>
  </si>
  <si>
    <t>단가</t>
  </si>
  <si>
    <t>공급가액</t>
  </si>
  <si>
    <t>세액</t>
  </si>
  <si>
    <t>모니터</t>
  </si>
  <si>
    <t>학번</t>
  </si>
  <si>
    <t>중간</t>
  </si>
  <si>
    <t>기말</t>
  </si>
  <si>
    <t>최종점수</t>
  </si>
  <si>
    <t>평가</t>
  </si>
  <si>
    <t>매출액</t>
  </si>
  <si>
    <t>대한 중고센터 품목 현황</t>
    <phoneticPr fontId="2" type="noConversion"/>
  </si>
  <si>
    <t>도서 판매 내역</t>
    <phoneticPr fontId="2" type="noConversion"/>
  </si>
  <si>
    <t>학교</t>
    <phoneticPr fontId="2" type="noConversion"/>
  </si>
  <si>
    <t>플래시 MX 고급활용</t>
    <phoneticPr fontId="2" type="noConversion"/>
  </si>
  <si>
    <t>개인</t>
    <phoneticPr fontId="2" type="noConversion"/>
  </si>
  <si>
    <t>스위시 II</t>
    <phoneticPr fontId="2" type="noConversion"/>
  </si>
  <si>
    <t>서점</t>
    <phoneticPr fontId="2" type="noConversion"/>
  </si>
  <si>
    <t>네트워크 구축</t>
    <phoneticPr fontId="2" type="noConversion"/>
  </si>
  <si>
    <t>컴퓨터 엔지니어링</t>
    <phoneticPr fontId="2" type="noConversion"/>
  </si>
  <si>
    <t>자바 스크립트</t>
    <phoneticPr fontId="2" type="noConversion"/>
  </si>
  <si>
    <t>학원</t>
    <phoneticPr fontId="2" type="noConversion"/>
  </si>
  <si>
    <t>Visual Basic.NET</t>
    <phoneticPr fontId="2" type="noConversion"/>
  </si>
  <si>
    <t>웹마스터</t>
    <phoneticPr fontId="2" type="noConversion"/>
  </si>
  <si>
    <t>드림위버 MX</t>
    <phoneticPr fontId="2" type="noConversion"/>
  </si>
  <si>
    <t>성명</t>
    <phoneticPr fontId="2" type="noConversion"/>
  </si>
  <si>
    <r>
      <t>[표3</t>
    </r>
    <r>
      <rPr>
        <sz val="11"/>
        <rFont val="돋움"/>
        <family val="3"/>
        <charset val="129"/>
      </rPr>
      <t>]</t>
    </r>
    <phoneticPr fontId="2" type="noConversion"/>
  </si>
  <si>
    <t>상공 문구 판매 현황</t>
    <phoneticPr fontId="2" type="noConversion"/>
  </si>
  <si>
    <t>제품명</t>
    <phoneticPr fontId="2" type="noConversion"/>
  </si>
  <si>
    <t xml:space="preserve">판매가격 </t>
    <phoneticPr fontId="2" type="noConversion"/>
  </si>
  <si>
    <t>판매수량</t>
    <phoneticPr fontId="2" type="noConversion"/>
  </si>
  <si>
    <t>다이어리</t>
    <phoneticPr fontId="2" type="noConversion"/>
  </si>
  <si>
    <t>김인철</t>
    <phoneticPr fontId="2" type="noConversion"/>
  </si>
  <si>
    <t>수첩</t>
    <phoneticPr fontId="2" type="noConversion"/>
  </si>
  <si>
    <t>오인영</t>
    <phoneticPr fontId="2" type="noConversion"/>
  </si>
  <si>
    <t xml:space="preserve"> 교육학 성적 평가</t>
    <phoneticPr fontId="2" type="noConversion"/>
  </si>
  <si>
    <t>성명</t>
    <phoneticPr fontId="2" type="noConversion"/>
  </si>
  <si>
    <t xml:space="preserve">[표1] </t>
    <phoneticPr fontId="2" type="noConversion"/>
  </si>
  <si>
    <r>
      <t>[표2</t>
    </r>
    <r>
      <rPr>
        <sz val="11"/>
        <rFont val="돋움"/>
        <family val="3"/>
        <charset val="129"/>
      </rPr>
      <t>]</t>
    </r>
    <phoneticPr fontId="2" type="noConversion"/>
  </si>
  <si>
    <t>근무년수</t>
    <phoneticPr fontId="2" type="noConversion"/>
  </si>
  <si>
    <t>이보람</t>
    <phoneticPr fontId="2" type="noConversion"/>
  </si>
  <si>
    <t>정태훈</t>
    <phoneticPr fontId="2" type="noConversion"/>
  </si>
  <si>
    <t>오정철</t>
    <phoneticPr fontId="2" type="noConversion"/>
  </si>
  <si>
    <t>구정인</t>
    <phoneticPr fontId="2" type="noConversion"/>
  </si>
  <si>
    <t>임우택</t>
    <phoneticPr fontId="2" type="noConversion"/>
  </si>
  <si>
    <t>신성우</t>
    <phoneticPr fontId="2" type="noConversion"/>
  </si>
  <si>
    <t>하나영</t>
    <phoneticPr fontId="2" type="noConversion"/>
  </si>
  <si>
    <t>박철우</t>
    <phoneticPr fontId="2" type="noConversion"/>
  </si>
  <si>
    <t>류인태</t>
    <phoneticPr fontId="2" type="noConversion"/>
  </si>
  <si>
    <t>명함꽂이</t>
    <phoneticPr fontId="2" type="noConversion"/>
  </si>
  <si>
    <t>조인혜</t>
    <phoneticPr fontId="2" type="noConversion"/>
  </si>
  <si>
    <t>딱풀</t>
    <phoneticPr fontId="2" type="noConversion"/>
  </si>
  <si>
    <t>차영국</t>
    <phoneticPr fontId="2" type="noConversion"/>
  </si>
  <si>
    <t>붓</t>
    <phoneticPr fontId="2" type="noConversion"/>
  </si>
  <si>
    <t>고태평</t>
    <phoneticPr fontId="2" type="noConversion"/>
  </si>
  <si>
    <t>진만철</t>
    <phoneticPr fontId="2" type="noConversion"/>
  </si>
  <si>
    <t>할인율표</t>
    <phoneticPr fontId="2" type="noConversion"/>
  </si>
  <si>
    <t>유인애</t>
    <phoneticPr fontId="2" type="noConversion"/>
  </si>
  <si>
    <t>판매수량</t>
    <phoneticPr fontId="2" type="noConversion"/>
  </si>
  <si>
    <t>임나영</t>
    <phoneticPr fontId="2" type="noConversion"/>
  </si>
  <si>
    <t>할인율</t>
    <phoneticPr fontId="2" type="noConversion"/>
  </si>
  <si>
    <t>등급</t>
    <phoneticPr fontId="2" type="noConversion"/>
  </si>
  <si>
    <t>이대로</t>
    <phoneticPr fontId="2" type="noConversion"/>
  </si>
  <si>
    <t>한삼인</t>
    <phoneticPr fontId="2" type="noConversion"/>
  </si>
  <si>
    <t>부서명</t>
    <phoneticPr fontId="2" type="noConversion"/>
  </si>
  <si>
    <t>영업부</t>
    <phoneticPr fontId="2" type="noConversion"/>
  </si>
  <si>
    <t>경리부</t>
    <phoneticPr fontId="2" type="noConversion"/>
  </si>
  <si>
    <t>총무부</t>
    <phoneticPr fontId="2" type="noConversion"/>
  </si>
  <si>
    <t>사원별 현황</t>
    <phoneticPr fontId="2" type="noConversion"/>
  </si>
  <si>
    <t>주민등록번호</t>
    <phoneticPr fontId="2" type="noConversion"/>
  </si>
  <si>
    <t>성별</t>
    <phoneticPr fontId="2" type="noConversion"/>
  </si>
  <si>
    <t>함하영</t>
    <phoneticPr fontId="2" type="noConversion"/>
  </si>
  <si>
    <t>나소인</t>
    <phoneticPr fontId="2" type="noConversion"/>
  </si>
  <si>
    <t>이지함</t>
    <phoneticPr fontId="2" type="noConversion"/>
  </si>
  <si>
    <t>김예윤</t>
    <phoneticPr fontId="2" type="noConversion"/>
  </si>
  <si>
    <r>
      <t>학원 수강</t>
    </r>
    <r>
      <rPr>
        <sz val="11"/>
        <rFont val="돋움"/>
        <family val="3"/>
        <charset val="129"/>
      </rPr>
      <t xml:space="preserve"> </t>
    </r>
    <r>
      <rPr>
        <sz val="11"/>
        <rFont val="돋움"/>
        <family val="3"/>
        <charset val="129"/>
      </rPr>
      <t>현황</t>
    </r>
    <phoneticPr fontId="2" type="noConversion"/>
  </si>
  <si>
    <t>과목</t>
    <phoneticPr fontId="2" type="noConversion"/>
  </si>
  <si>
    <t>영어</t>
    <phoneticPr fontId="2" type="noConversion"/>
  </si>
  <si>
    <t>국어</t>
    <phoneticPr fontId="2" type="noConversion"/>
  </si>
  <si>
    <t>수학</t>
    <phoneticPr fontId="2" type="noConversion"/>
  </si>
  <si>
    <t>국어</t>
    <phoneticPr fontId="2" type="noConversion"/>
  </si>
  <si>
    <t>영어</t>
    <phoneticPr fontId="2" type="noConversion"/>
  </si>
  <si>
    <t>국어</t>
    <phoneticPr fontId="2" type="noConversion"/>
  </si>
  <si>
    <t>유지온</t>
    <phoneticPr fontId="2" type="noConversion"/>
  </si>
  <si>
    <t>할인금액</t>
    <phoneticPr fontId="2" type="noConversion"/>
  </si>
  <si>
    <t>판매금액</t>
    <phoneticPr fontId="2" type="noConversion"/>
  </si>
  <si>
    <r>
      <t>[표</t>
    </r>
    <r>
      <rPr>
        <sz val="11"/>
        <rFont val="돋움"/>
        <family val="3"/>
        <charset val="129"/>
      </rPr>
      <t>4</t>
    </r>
    <r>
      <rPr>
        <sz val="11"/>
        <rFont val="돋움"/>
        <family val="3"/>
        <charset val="129"/>
      </rPr>
      <t>]</t>
    </r>
    <phoneticPr fontId="2" type="noConversion"/>
  </si>
  <si>
    <t>[표5]</t>
    <phoneticPr fontId="2" type="noConversion"/>
  </si>
  <si>
    <t>지역</t>
    <phoneticPr fontId="2" type="noConversion"/>
  </si>
  <si>
    <t>서울</t>
    <phoneticPr fontId="2" type="noConversion"/>
  </si>
  <si>
    <t>부산</t>
    <phoneticPr fontId="2" type="noConversion"/>
  </si>
  <si>
    <t>경기</t>
    <phoneticPr fontId="2" type="noConversion"/>
  </si>
  <si>
    <t>경기</t>
    <phoneticPr fontId="2" type="noConversion"/>
  </si>
  <si>
    <t>부산</t>
    <phoneticPr fontId="2" type="noConversion"/>
  </si>
  <si>
    <t>서울</t>
    <phoneticPr fontId="2" type="noConversion"/>
  </si>
  <si>
    <t>단가</t>
    <phoneticPr fontId="2" type="noConversion"/>
  </si>
  <si>
    <t>품명</t>
    <phoneticPr fontId="2" type="noConversion"/>
  </si>
  <si>
    <r>
      <t>지역별 판매</t>
    </r>
    <r>
      <rPr>
        <sz val="11"/>
        <rFont val="돋움"/>
        <family val="3"/>
        <charset val="129"/>
      </rPr>
      <t xml:space="preserve"> 현황</t>
    </r>
    <phoneticPr fontId="2" type="noConversion"/>
  </si>
  <si>
    <r>
      <t>D</t>
    </r>
    <r>
      <rPr>
        <sz val="11"/>
        <rFont val="돋움"/>
        <family val="3"/>
        <charset val="129"/>
      </rPr>
      <t>VD</t>
    </r>
    <phoneticPr fontId="2" type="noConversion"/>
  </si>
  <si>
    <t>마우스</t>
    <phoneticPr fontId="2" type="noConversion"/>
  </si>
  <si>
    <t>라이트펜</t>
    <phoneticPr fontId="2" type="noConversion"/>
  </si>
  <si>
    <t>DVD</t>
    <phoneticPr fontId="2" type="noConversion"/>
  </si>
  <si>
    <t>판매량</t>
    <phoneticPr fontId="2" type="noConversion"/>
  </si>
  <si>
    <t>판매금액</t>
    <phoneticPr fontId="2" type="noConversion"/>
  </si>
  <si>
    <t>과목별 성적 현황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</si>
  <si>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</si>
  <si>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</si>
  <si>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</si>
  <si>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합격여부</t>
    <phoneticPr fontId="2" type="noConversion"/>
  </si>
  <si>
    <t>평균</t>
    <phoneticPr fontId="2" type="noConversion"/>
  </si>
  <si>
    <t>홈플러스</t>
    <phoneticPr fontId="2" type="noConversion"/>
  </si>
  <si>
    <t>온누리</t>
    <phoneticPr fontId="2" type="noConversion"/>
  </si>
  <si>
    <t>프린터</t>
    <phoneticPr fontId="2" type="noConversion"/>
  </si>
  <si>
    <t>우주통산</t>
    <phoneticPr fontId="2" type="noConversion"/>
  </si>
  <si>
    <t>대한위성방송</t>
    <phoneticPr fontId="2" type="noConversion"/>
  </si>
  <si>
    <t>상공상사</t>
    <phoneticPr fontId="2" type="noConversion"/>
  </si>
  <si>
    <t>스캐너</t>
    <phoneticPr fontId="2" type="noConversion"/>
  </si>
  <si>
    <t>스캐너</t>
    <phoneticPr fontId="2" type="noConversion"/>
  </si>
  <si>
    <t>상공상사</t>
    <phoneticPr fontId="2" type="noConversion"/>
  </si>
  <si>
    <t>스캐너</t>
    <phoneticPr fontId="2" type="noConversion"/>
  </si>
  <si>
    <t>프린터</t>
    <phoneticPr fontId="2" type="noConversion"/>
  </si>
  <si>
    <t>제품 공급 현황</t>
    <phoneticPr fontId="2" type="noConversion"/>
  </si>
  <si>
    <t>상공마트 거래 내역서</t>
  </si>
  <si>
    <t>분류</t>
    <phoneticPr fontId="2" type="noConversion"/>
  </si>
  <si>
    <t>상품코드</t>
    <phoneticPr fontId="2" type="noConversion"/>
  </si>
  <si>
    <t>상품명</t>
    <phoneticPr fontId="2" type="noConversion"/>
  </si>
  <si>
    <t>단가</t>
    <phoneticPr fontId="2" type="noConversion"/>
  </si>
  <si>
    <t>판매수량</t>
    <phoneticPr fontId="2" type="noConversion"/>
  </si>
  <si>
    <t>판매금액</t>
    <phoneticPr fontId="2" type="noConversion"/>
  </si>
  <si>
    <t>과일</t>
    <phoneticPr fontId="2" type="noConversion"/>
  </si>
  <si>
    <t>FA-001</t>
    <phoneticPr fontId="2" type="noConversion"/>
  </si>
  <si>
    <t>사과</t>
    <phoneticPr fontId="2" type="noConversion"/>
  </si>
  <si>
    <t>의류</t>
    <phoneticPr fontId="2" type="noConversion"/>
  </si>
  <si>
    <t>WF-001</t>
    <phoneticPr fontId="2" type="noConversion"/>
  </si>
  <si>
    <t>FP-001</t>
    <phoneticPr fontId="2" type="noConversion"/>
  </si>
  <si>
    <t>배</t>
    <phoneticPr fontId="2" type="noConversion"/>
  </si>
  <si>
    <t>WF-002</t>
    <phoneticPr fontId="2" type="noConversion"/>
  </si>
  <si>
    <t>가전</t>
    <phoneticPr fontId="2" type="noConversion"/>
  </si>
  <si>
    <t>HT-001</t>
    <phoneticPr fontId="2" type="noConversion"/>
  </si>
  <si>
    <t>HDTV</t>
    <phoneticPr fontId="2" type="noConversion"/>
  </si>
  <si>
    <t>HC-002</t>
    <phoneticPr fontId="2" type="noConversion"/>
  </si>
  <si>
    <t>홈시어터</t>
    <phoneticPr fontId="2" type="noConversion"/>
  </si>
  <si>
    <t>FA-002</t>
    <phoneticPr fontId="2" type="noConversion"/>
  </si>
  <si>
    <t>HT-002</t>
    <phoneticPr fontId="2" type="noConversion"/>
  </si>
  <si>
    <t>FP-002</t>
    <phoneticPr fontId="2" type="noConversion"/>
  </si>
  <si>
    <t>WM-001</t>
    <phoneticPr fontId="2" type="noConversion"/>
  </si>
  <si>
    <t>남성정장</t>
    <phoneticPr fontId="2" type="noConversion"/>
  </si>
  <si>
    <t>캐주얼</t>
    <phoneticPr fontId="2" type="noConversion"/>
  </si>
  <si>
    <t>복숭아</t>
    <phoneticPr fontId="2" type="noConversion"/>
  </si>
  <si>
    <t>세탁기</t>
    <phoneticPr fontId="2" type="noConversion"/>
  </si>
  <si>
    <t>메론</t>
    <phoneticPr fontId="2" type="noConversion"/>
  </si>
  <si>
    <t>냉장</t>
    <phoneticPr fontId="2" type="noConversion"/>
  </si>
  <si>
    <t>여성정장</t>
    <phoneticPr fontId="2" type="noConversion"/>
  </si>
  <si>
    <t>하반기 자동차 매출 현황</t>
    <phoneticPr fontId="2" type="noConversion"/>
  </si>
  <si>
    <t>단위:천원</t>
    <phoneticPr fontId="2" type="noConversion"/>
  </si>
  <si>
    <t>지점</t>
    <phoneticPr fontId="2" type="noConversion"/>
  </si>
  <si>
    <t>목표량</t>
    <phoneticPr fontId="2" type="noConversion"/>
  </si>
  <si>
    <t>목표액</t>
    <phoneticPr fontId="2" type="noConversion"/>
  </si>
  <si>
    <t>판매량</t>
    <phoneticPr fontId="2" type="noConversion"/>
  </si>
  <si>
    <t>강서</t>
    <phoneticPr fontId="2" type="noConversion"/>
  </si>
  <si>
    <t>강남</t>
    <phoneticPr fontId="2" type="noConversion"/>
  </si>
  <si>
    <t>북부</t>
    <phoneticPr fontId="2" type="noConversion"/>
  </si>
  <si>
    <t>남부</t>
    <phoneticPr fontId="2" type="noConversion"/>
  </si>
  <si>
    <t>중부</t>
    <phoneticPr fontId="2" type="noConversion"/>
  </si>
  <si>
    <t>동부</t>
    <phoneticPr fontId="2" type="noConversion"/>
  </si>
  <si>
    <t>서부</t>
    <phoneticPr fontId="2" type="noConversion"/>
  </si>
  <si>
    <t>평균</t>
    <phoneticPr fontId="2" type="noConversion"/>
  </si>
  <si>
    <t>담당자별 매입 매출 현황</t>
    <phoneticPr fontId="2" type="noConversion"/>
  </si>
  <si>
    <t>매입처명</t>
    <phoneticPr fontId="2" type="noConversion"/>
  </si>
  <si>
    <t>전기이월</t>
    <phoneticPr fontId="2" type="noConversion"/>
  </si>
  <si>
    <t>기간매입</t>
    <phoneticPr fontId="2" type="noConversion"/>
  </si>
  <si>
    <t>기간매출</t>
    <phoneticPr fontId="2" type="noConversion"/>
  </si>
  <si>
    <t>매출액</t>
    <phoneticPr fontId="2" type="noConversion"/>
  </si>
  <si>
    <t>안동자</t>
    <phoneticPr fontId="2" type="noConversion"/>
  </si>
  <si>
    <t>한사랑</t>
    <phoneticPr fontId="2" type="noConversion"/>
  </si>
  <si>
    <t>한구민</t>
    <phoneticPr fontId="2" type="noConversion"/>
  </si>
  <si>
    <t>상공상사</t>
    <phoneticPr fontId="2" type="noConversion"/>
  </si>
  <si>
    <t>민들래</t>
    <phoneticPr fontId="2" type="noConversion"/>
  </si>
  <si>
    <t>㈜파랑새</t>
    <phoneticPr fontId="2" type="noConversion"/>
  </si>
  <si>
    <t>강소원</t>
    <phoneticPr fontId="2" type="noConversion"/>
  </si>
  <si>
    <t>대한문고</t>
    <phoneticPr fontId="2" type="noConversion"/>
  </si>
  <si>
    <t>한나라</t>
    <phoneticPr fontId="2" type="noConversion"/>
  </si>
  <si>
    <t>장라면</t>
    <phoneticPr fontId="2" type="noConversion"/>
  </si>
  <si>
    <t>오지원</t>
    <phoneticPr fontId="2" type="noConversion"/>
  </si>
  <si>
    <t>한두림</t>
    <phoneticPr fontId="2" type="noConversion"/>
  </si>
  <si>
    <t>오형택</t>
    <phoneticPr fontId="2" type="noConversion"/>
  </si>
  <si>
    <t>심바다</t>
    <phoneticPr fontId="2" type="noConversion"/>
  </si>
  <si>
    <t>합계</t>
    <phoneticPr fontId="2" type="noConversion"/>
  </si>
  <si>
    <t>안아영</t>
    <phoneticPr fontId="2" type="noConversion"/>
  </si>
  <si>
    <t>수</t>
    <phoneticPr fontId="2" type="noConversion"/>
  </si>
  <si>
    <t>오미지</t>
    <phoneticPr fontId="2" type="noConversion"/>
  </si>
  <si>
    <t>양</t>
    <phoneticPr fontId="2" type="noConversion"/>
  </si>
  <si>
    <t>한가람</t>
    <phoneticPr fontId="2" type="noConversion"/>
  </si>
  <si>
    <t>김정환</t>
    <phoneticPr fontId="2" type="noConversion"/>
  </si>
  <si>
    <t>우</t>
    <phoneticPr fontId="2" type="noConversion"/>
  </si>
  <si>
    <t>유정철</t>
    <phoneticPr fontId="2" type="noConversion"/>
  </si>
  <si>
    <t>미</t>
    <phoneticPr fontId="2" type="noConversion"/>
  </si>
  <si>
    <t>송미리</t>
    <phoneticPr fontId="2" type="noConversion"/>
  </si>
  <si>
    <t>서울평균</t>
    <phoneticPr fontId="2" type="noConversion"/>
  </si>
  <si>
    <t>품명</t>
    <phoneticPr fontId="2" type="noConversion"/>
  </si>
  <si>
    <t>장롱</t>
    <phoneticPr fontId="2" type="noConversion"/>
  </si>
  <si>
    <t>VIP의자</t>
    <phoneticPr fontId="2" type="noConversion"/>
  </si>
  <si>
    <t>TV</t>
    <phoneticPr fontId="2" type="noConversion"/>
  </si>
  <si>
    <t>세탁기</t>
    <phoneticPr fontId="2" type="noConversion"/>
  </si>
  <si>
    <t>전기히터</t>
    <phoneticPr fontId="2" type="noConversion"/>
  </si>
  <si>
    <t>김치냉장고</t>
    <phoneticPr fontId="2" type="noConversion"/>
  </si>
  <si>
    <t>규격</t>
    <phoneticPr fontId="2" type="noConversion"/>
  </si>
  <si>
    <t>8자/나무</t>
    <phoneticPr fontId="2" type="noConversion"/>
  </si>
  <si>
    <t>W650*D720*H1220</t>
    <phoneticPr fontId="2" type="noConversion"/>
  </si>
  <si>
    <t>50"(벽걸이)</t>
    <phoneticPr fontId="2" type="noConversion"/>
  </si>
  <si>
    <t>10kg(드럼형)</t>
    <phoneticPr fontId="2" type="noConversion"/>
  </si>
  <si>
    <t>12평형</t>
    <phoneticPr fontId="2" type="noConversion"/>
  </si>
  <si>
    <t>880*690*994mm</t>
    <phoneticPr fontId="2" type="noConversion"/>
  </si>
  <si>
    <t>예상금액</t>
    <phoneticPr fontId="2" type="noConversion"/>
  </si>
  <si>
    <t>사용기간</t>
    <phoneticPr fontId="2" type="noConversion"/>
  </si>
  <si>
    <t>2년</t>
    <phoneticPr fontId="2" type="noConversion"/>
  </si>
  <si>
    <t>2년 7개월</t>
    <phoneticPr fontId="2" type="noConversion"/>
  </si>
  <si>
    <t>3년</t>
    <phoneticPr fontId="2" type="noConversion"/>
  </si>
  <si>
    <t>5개월</t>
    <phoneticPr fontId="2" type="noConversion"/>
  </si>
  <si>
    <t>18개월</t>
    <phoneticPr fontId="2" type="noConversion"/>
  </si>
  <si>
    <t>15개월</t>
    <phoneticPr fontId="2" type="noConversion"/>
  </si>
  <si>
    <t>상태</t>
    <phoneticPr fontId="2" type="noConversion"/>
  </si>
  <si>
    <t>B등급</t>
    <phoneticPr fontId="2" type="noConversion"/>
  </si>
  <si>
    <t>AA급</t>
    <phoneticPr fontId="2" type="noConversion"/>
  </si>
  <si>
    <t>수리요망</t>
    <phoneticPr fontId="2" type="noConversion"/>
  </si>
  <si>
    <t>AAA급</t>
    <phoneticPr fontId="2" type="noConversion"/>
  </si>
  <si>
    <t>양호</t>
    <phoneticPr fontId="2" type="noConversion"/>
  </si>
  <si>
    <t>특A급</t>
    <phoneticPr fontId="2" type="noConversion"/>
  </si>
  <si>
    <t>등록일</t>
    <phoneticPr fontId="2" type="noConversion"/>
  </si>
  <si>
    <t>연락처</t>
    <phoneticPr fontId="2" type="noConversion"/>
  </si>
  <si>
    <t>2237-6785</t>
    <phoneticPr fontId="2" type="noConversion"/>
  </si>
  <si>
    <t>324-0088</t>
    <phoneticPr fontId="2" type="noConversion"/>
  </si>
  <si>
    <t>567-5987</t>
    <phoneticPr fontId="2" type="noConversion"/>
  </si>
  <si>
    <t>555-4895</t>
    <phoneticPr fontId="2" type="noConversion"/>
  </si>
  <si>
    <t>658-1628</t>
    <phoneticPr fontId="2" type="noConversion"/>
  </si>
  <si>
    <t>332-6917</t>
    <phoneticPr fontId="2" type="noConversion"/>
  </si>
  <si>
    <t>대한위성방송</t>
  </si>
  <si>
    <t>상공상사</t>
  </si>
  <si>
    <t>온누리</t>
  </si>
  <si>
    <t>우주통산</t>
  </si>
  <si>
    <t>홈플러스</t>
  </si>
  <si>
    <t>총합계</t>
  </si>
  <si>
    <t>평균 : 공급가액</t>
  </si>
  <si>
    <t>평균 : 세액</t>
  </si>
  <si>
    <t>프린터</t>
  </si>
  <si>
    <t>행 레이블</t>
  </si>
  <si>
    <r>
      <t>02</t>
    </r>
    <r>
      <rPr>
        <sz val="11"/>
        <rFont val="돋움"/>
        <family val="3"/>
        <charset val="129"/>
      </rPr>
      <t>1010</t>
    </r>
    <r>
      <rPr>
        <sz val="11"/>
        <rFont val="돋움"/>
        <family val="3"/>
        <charset val="129"/>
      </rPr>
      <t>-4231519</t>
    </r>
    <phoneticPr fontId="2" type="noConversion"/>
  </si>
  <si>
    <t>030621-3469856</t>
    <phoneticPr fontId="2" type="noConversion"/>
  </si>
  <si>
    <t>020725-2348521</t>
    <phoneticPr fontId="2" type="noConversion"/>
  </si>
  <si>
    <t>031231-1247825</t>
    <phoneticPr fontId="2" type="noConversion"/>
  </si>
  <si>
    <t>040409-3254874</t>
    <phoneticPr fontId="2" type="noConversion"/>
  </si>
  <si>
    <t>021122-1352487</t>
    <phoneticPr fontId="2" type="noConversion"/>
  </si>
  <si>
    <t>030815-4354798</t>
    <phoneticPr fontId="2" type="noConversion"/>
  </si>
  <si>
    <t>020917-2514783</t>
    <phoneticPr fontId="2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</si>
</sst>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#&quot;개&quot;"/>
  </numFmts>
  <fonts count="9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6"/>
      <name val="돋움"/>
      <family val="3"/>
      <charset val="129"/>
    </font>
    <font>
      <b/>
      <sz val="16"/>
      <name val="돋움"/>
      <family val="3"/>
      <charset val="129"/>
    </font>
    <font>
      <b/>
      <u val="double"/>
      <sz val="16"/>
      <name val="궁서체"/>
      <family val="1"/>
      <charset val="129"/>
    </font>
    <font>
      <b/>
      <sz val="12"/>
      <color indexed="26"/>
      <name val="돋움"/>
      <family val="3"/>
      <charset val="129"/>
    </font>
    <font>
      <sz val="11"/>
      <color indexed="63"/>
      <name val="돋움"/>
      <family val="3"/>
      <charset val="129"/>
    </font>
    <font>
      <b/>
      <sz val="12"/>
      <color indexed="8"/>
      <name val="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6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/>
      <top/>
      <bottom/>
      <diagonal/>
    </border>
    <border>
      <left/>
      <right style="thin">
        <color indexed="63"/>
      </right>
      <top/>
      <bottom/>
      <diagonal/>
    </border>
    <border>
      <left/>
      <right/>
      <top/>
      <bottom style="thick">
        <color indexed="8"/>
      </bottom>
      <diagonal/>
    </border>
    <border>
      <left style="thin">
        <color indexed="63"/>
      </left>
      <right/>
      <top/>
      <bottom style="thick">
        <color indexed="8"/>
      </bottom>
      <diagonal/>
    </border>
    <border>
      <left/>
      <right style="thin">
        <color indexed="63"/>
      </right>
      <top/>
      <bottom style="thick">
        <color indexed="8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70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1" xfId="0" applyBorder="1" applyAlignment="1">
      <alignment horizontal="center"/>
    </xf>
    <xf numFmtId="41" fontId="1" fillId="0" borderId="1" xfId="2" applyBorder="1" applyAlignment="1">
      <alignment horizontal="center"/>
    </xf>
    <xf numFmtId="9" fontId="1" fillId="0" borderId="1" xfId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Fill="1"/>
    <xf numFmtId="0" fontId="1" fillId="0" borderId="0" xfId="0" applyFont="1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41" fontId="1" fillId="0" borderId="1" xfId="2" applyBorder="1"/>
    <xf numFmtId="0" fontId="0" fillId="0" borderId="1" xfId="0" applyFont="1" applyFill="1" applyBorder="1" applyAlignment="1">
      <alignment horizontal="center"/>
    </xf>
    <xf numFmtId="9" fontId="1" fillId="0" borderId="1" xfId="0" applyNumberFormat="1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1" xfId="2" applyNumberFormat="1" applyBorder="1" applyAlignment="1">
      <alignment horizontal="center"/>
    </xf>
    <xf numFmtId="0" fontId="1" fillId="0" borderId="1" xfId="2" applyNumberFormat="1" applyFont="1" applyFill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41" fontId="0" fillId="0" borderId="1" xfId="2" applyFont="1" applyBorder="1" applyAlignment="1">
      <alignment horizontal="center"/>
    </xf>
    <xf numFmtId="41" fontId="0" fillId="0" borderId="1" xfId="2" applyFont="1" applyBorder="1"/>
    <xf numFmtId="41" fontId="1" fillId="0" borderId="1" xfId="2" applyFont="1" applyFill="1" applyBorder="1"/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0" fillId="0" borderId="1" xfId="0" applyNumberFormat="1" applyFont="1" applyFill="1" applyBorder="1" applyAlignment="1">
      <alignment horizontal="center"/>
    </xf>
    <xf numFmtId="0" fontId="1" fillId="0" borderId="1" xfId="0" applyFont="1" applyBorder="1"/>
    <xf numFmtId="0" fontId="1" fillId="2" borderId="3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41" fontId="0" fillId="0" borderId="1" xfId="0" applyNumberFormat="1" applyBorder="1" applyAlignment="1">
      <alignment horizontal="center"/>
    </xf>
    <xf numFmtId="41" fontId="0" fillId="0" borderId="1" xfId="0" applyNumberFormat="1" applyBorder="1"/>
    <xf numFmtId="41" fontId="0" fillId="0" borderId="1" xfId="0" applyNumberForma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NumberFormat="1" applyBorder="1"/>
    <xf numFmtId="176" fontId="0" fillId="0" borderId="1" xfId="0" applyNumberFormat="1" applyBorder="1" applyAlignment="1">
      <alignment horizontal="right" indent="1"/>
    </xf>
    <xf numFmtId="0" fontId="0" fillId="0" borderId="7" xfId="0" applyBorder="1"/>
    <xf numFmtId="0" fontId="0" fillId="0" borderId="8" xfId="0" pivotButton="1" applyBorder="1"/>
    <xf numFmtId="0" fontId="0" fillId="0" borderId="8" xfId="0" applyBorder="1"/>
    <xf numFmtId="0" fontId="6" fillId="3" borderId="9" xfId="0" applyFont="1" applyFill="1" applyBorder="1" applyAlignment="1">
      <alignment horizontal="left"/>
    </xf>
    <xf numFmtId="0" fontId="7" fillId="0" borderId="9" xfId="0" applyFont="1" applyBorder="1" applyAlignment="1">
      <alignment horizontal="left"/>
    </xf>
    <xf numFmtId="0" fontId="8" fillId="4" borderId="12" xfId="0" applyFont="1" applyFill="1" applyBorder="1" applyAlignment="1">
      <alignment horizontal="left"/>
    </xf>
    <xf numFmtId="0" fontId="6" fillId="3" borderId="0" xfId="0" applyFont="1" applyFill="1" applyAlignment="1">
      <alignment horizontal="right"/>
    </xf>
    <xf numFmtId="0" fontId="6" fillId="3" borderId="10" xfId="0" applyFont="1" applyFill="1" applyBorder="1" applyAlignment="1">
      <alignment horizontal="right"/>
    </xf>
    <xf numFmtId="0" fontId="7" fillId="0" borderId="0" xfId="0" applyNumberFormat="1" applyFont="1" applyAlignment="1">
      <alignment horizontal="right"/>
    </xf>
    <xf numFmtId="0" fontId="7" fillId="0" borderId="10" xfId="0" applyNumberFormat="1" applyFont="1" applyBorder="1" applyAlignment="1">
      <alignment horizontal="right"/>
    </xf>
    <xf numFmtId="0" fontId="8" fillId="4" borderId="11" xfId="0" applyNumberFormat="1" applyFont="1" applyFill="1" applyBorder="1" applyAlignment="1">
      <alignment horizontal="right"/>
    </xf>
    <xf numFmtId="0" fontId="8" fillId="4" borderId="13" xfId="0" applyNumberFormat="1" applyFont="1" applyFill="1" applyBorder="1" applyAlignment="1">
      <alignment horizontal="right"/>
    </xf>
    <xf numFmtId="14" fontId="0" fillId="0" borderId="1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5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4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</cellXfs>
  <cellStyles count="3">
    <cellStyle name="백분율" xfId="1" builtinId="5"/>
    <cellStyle name="쉼표 [0]" xfId="2" builtinId="6"/>
    <cellStyle name="표준" xfId="0" builtinId="0"/>
  </cellStyles>
  <dxfs count="1">
    <dxf>
      <font>
        <b/>
        <i val="0"/>
        <color rgb="FFFF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title>
      <c:tx>
        <c:rich>
          <a:bodyPr/>
          <a:lstStyle/>
          <a:p>
            <a:pPr>
              <a:defRPr sz="1600" b="1">
                <a:latin typeface="궁서체" pitchFamily="17" charset="-127"/>
                <a:ea typeface="궁서체" pitchFamily="17" charset="-127"/>
              </a:defRPr>
            </a:pPr>
            <a:r>
              <a:rPr lang="ko-KR" altLang="en-US" sz="1600" b="1">
                <a:latin typeface="궁서체" pitchFamily="17" charset="-127"/>
                <a:ea typeface="궁서체" pitchFamily="17" charset="-127"/>
              </a:rPr>
              <a:t>하반기 자동차 매출 현황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20000016837298656"/>
          <c:y val="0.23104084211695772"/>
          <c:w val="0.64655226844715452"/>
          <c:h val="0.64726853587745958"/>
        </c:manualLayout>
      </c:layout>
      <c:barChart>
        <c:barDir val="col"/>
        <c:grouping val="clustered"/>
        <c:ser>
          <c:idx val="0"/>
          <c:order val="0"/>
          <c:tx>
            <c:strRef>
              <c:f>차트작업!$C$3</c:f>
              <c:strCache>
                <c:ptCount val="1"/>
                <c:pt idx="0">
                  <c:v>목표액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차트작업!$A$4:$A$10</c:f>
              <c:strCache>
                <c:ptCount val="7"/>
                <c:pt idx="0">
                  <c:v>강서</c:v>
                </c:pt>
                <c:pt idx="1">
                  <c:v>강남</c:v>
                </c:pt>
                <c:pt idx="2">
                  <c:v>북부</c:v>
                </c:pt>
                <c:pt idx="3">
                  <c:v>남부</c:v>
                </c:pt>
                <c:pt idx="4">
                  <c:v>중부</c:v>
                </c:pt>
                <c:pt idx="5">
                  <c:v>동부</c:v>
                </c:pt>
                <c:pt idx="6">
                  <c:v>서부</c:v>
                </c:pt>
              </c:strCache>
            </c:strRef>
          </c:cat>
          <c:val>
            <c:numRef>
              <c:f>차트작업!$C$4:$C$10</c:f>
              <c:numCache>
                <c:formatCode>_-* #,##0_-;\-* #,##0_-;_-* "-"_-;_-@_-</c:formatCode>
                <c:ptCount val="7"/>
                <c:pt idx="0">
                  <c:v>985600</c:v>
                </c:pt>
                <c:pt idx="1">
                  <c:v>862400</c:v>
                </c:pt>
                <c:pt idx="2">
                  <c:v>638400</c:v>
                </c:pt>
                <c:pt idx="3">
                  <c:v>324800</c:v>
                </c:pt>
                <c:pt idx="4">
                  <c:v>828800</c:v>
                </c:pt>
                <c:pt idx="5">
                  <c:v>750400</c:v>
                </c:pt>
                <c:pt idx="6">
                  <c:v>963200</c:v>
                </c:pt>
              </c:numCache>
            </c:numRef>
          </c:val>
        </c:ser>
        <c:axId val="82079744"/>
        <c:axId val="82082816"/>
      </c:barChart>
      <c:lineChart>
        <c:grouping val="standard"/>
        <c:ser>
          <c:idx val="1"/>
          <c:order val="1"/>
          <c:tx>
            <c:strRef>
              <c:f>차트작업!$E$3</c:f>
              <c:strCache>
                <c:ptCount val="1"/>
                <c:pt idx="0">
                  <c:v>매출액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dLbls>
            <c:showVal val="1"/>
          </c:dLbls>
          <c:cat>
            <c:strRef>
              <c:f>차트작업!$A$4:$A$10</c:f>
              <c:strCache>
                <c:ptCount val="7"/>
                <c:pt idx="0">
                  <c:v>강서</c:v>
                </c:pt>
                <c:pt idx="1">
                  <c:v>강남</c:v>
                </c:pt>
                <c:pt idx="2">
                  <c:v>북부</c:v>
                </c:pt>
                <c:pt idx="3">
                  <c:v>남부</c:v>
                </c:pt>
                <c:pt idx="4">
                  <c:v>중부</c:v>
                </c:pt>
                <c:pt idx="5">
                  <c:v>동부</c:v>
                </c:pt>
                <c:pt idx="6">
                  <c:v>서부</c:v>
                </c:pt>
              </c:strCache>
            </c:strRef>
          </c:cat>
          <c:val>
            <c:numRef>
              <c:f>차트작업!$E$4:$E$10</c:f>
              <c:numCache>
                <c:formatCode>_-* #,##0_-;\-* #,##0_-;_-* "-"_-;_-@_-</c:formatCode>
                <c:ptCount val="7"/>
                <c:pt idx="0">
                  <c:v>929600</c:v>
                </c:pt>
                <c:pt idx="1">
                  <c:v>761600</c:v>
                </c:pt>
                <c:pt idx="2">
                  <c:v>627200</c:v>
                </c:pt>
                <c:pt idx="3">
                  <c:v>257600</c:v>
                </c:pt>
                <c:pt idx="4">
                  <c:v>672000</c:v>
                </c:pt>
                <c:pt idx="5">
                  <c:v>560000</c:v>
                </c:pt>
                <c:pt idx="6">
                  <c:v>952000</c:v>
                </c:pt>
              </c:numCache>
            </c:numRef>
          </c:val>
        </c:ser>
        <c:marker val="1"/>
        <c:axId val="80015744"/>
        <c:axId val="96696960"/>
      </c:lineChart>
      <c:catAx>
        <c:axId val="82079744"/>
        <c:scaling>
          <c:orientation val="minMax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82082816"/>
        <c:crosses val="autoZero"/>
        <c:auto val="1"/>
        <c:lblAlgn val="ctr"/>
        <c:lblOffset val="100"/>
        <c:tickLblSkip val="1"/>
        <c:tickMarkSkip val="1"/>
      </c:catAx>
      <c:valAx>
        <c:axId val="82082816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ko-KR" altLang="en-US"/>
                  <a:t>금액</a:t>
                </a:r>
              </a:p>
            </c:rich>
          </c:tx>
          <c:layout>
            <c:manualLayout>
              <c:xMode val="edge"/>
              <c:yMode val="edge"/>
              <c:x val="2.7586206896551738E-2"/>
              <c:y val="0.14321126525850936"/>
            </c:manualLayout>
          </c:layout>
        </c:title>
        <c:numFmt formatCode="_-* #,##0_-;\-* #,##0_-;_-* &quot;-&quot;_-;_-@_-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82079744"/>
        <c:crosses val="autoZero"/>
        <c:crossBetween val="between"/>
      </c:valAx>
      <c:valAx>
        <c:axId val="96696960"/>
        <c:scaling>
          <c:orientation val="minMax"/>
        </c:scaling>
        <c:axPos val="r"/>
        <c:numFmt formatCode="_-* #,##0_-;\-* #,##0_-;_-* &quot;-&quot;_-;_-@_-" sourceLinked="1"/>
        <c:tickLblPos val="nextTo"/>
        <c:crossAx val="80015744"/>
        <c:crosses val="max"/>
        <c:crossBetween val="between"/>
      </c:valAx>
      <c:catAx>
        <c:axId val="80015744"/>
        <c:scaling>
          <c:orientation val="minMax"/>
        </c:scaling>
        <c:delete val="1"/>
        <c:axPos val="b"/>
        <c:tickLblPos val="none"/>
        <c:crossAx val="96696960"/>
        <c:crosses val="autoZero"/>
        <c:auto val="1"/>
        <c:lblAlgn val="ctr"/>
        <c:lblOffset val="100"/>
      </c:cat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1" i="0" u="none" strike="noStrike" baseline="0">
              <a:solidFill>
                <a:srgbClr val="000000"/>
              </a:solidFill>
              <a:latin typeface="궁서" pitchFamily="18" charset="-127"/>
              <a:ea typeface="궁서" pitchFamily="18" charset="-127"/>
              <a:cs typeface="돋움"/>
            </a:defRPr>
          </a:pPr>
          <a:endParaRPr lang="ko-KR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089" r="0.75000000000000089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9526</xdr:rowOff>
    </xdr:from>
    <xdr:to>
      <xdr:col>8</xdr:col>
      <xdr:colOff>9525</xdr:colOff>
      <xdr:row>3</xdr:row>
      <xdr:rowOff>161926</xdr:rowOff>
    </xdr:to>
    <xdr:sp macro="[0]!평균" textlink="">
      <xdr:nvSpPr>
        <xdr:cNvPr id="2" name="모서리가 둥근 직사각형 1"/>
        <xdr:cNvSpPr/>
      </xdr:nvSpPr>
      <xdr:spPr>
        <a:xfrm>
          <a:off x="5524500" y="180976"/>
          <a:ext cx="771525" cy="495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평균</a:t>
          </a:r>
        </a:p>
      </xdr:txBody>
    </xdr:sp>
    <xdr:clientData/>
  </xdr:twoCellAnchor>
  <xdr:twoCellAnchor>
    <xdr:from>
      <xdr:col>7</xdr:col>
      <xdr:colOff>1</xdr:colOff>
      <xdr:row>5</xdr:row>
      <xdr:rowOff>9525</xdr:rowOff>
    </xdr:from>
    <xdr:to>
      <xdr:col>8</xdr:col>
      <xdr:colOff>1</xdr:colOff>
      <xdr:row>8</xdr:row>
      <xdr:rowOff>0</xdr:rowOff>
    </xdr:to>
    <xdr:sp macro="[0]!정렬" textlink="">
      <xdr:nvSpPr>
        <xdr:cNvPr id="3" name="타원 2"/>
        <xdr:cNvSpPr/>
      </xdr:nvSpPr>
      <xdr:spPr>
        <a:xfrm>
          <a:off x="5524501" y="866775"/>
          <a:ext cx="762000" cy="5048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정렬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32</xdr:row>
      <xdr:rowOff>0</xdr:rowOff>
    </xdr:to>
    <xdr:graphicFrame macro="">
      <xdr:nvGraphicFramePr>
        <xdr:cNvPr id="307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용갑" refreshedDate="40415.458180092595" createdVersion="3" refreshedVersion="3" minRefreshableVersion="3" recordCount="15">
  <cacheSource type="worksheet">
    <worksheetSource ref="A2:F17" sheet="분석작업-1"/>
  </cacheSource>
  <cacheFields count="6">
    <cacheField name="거래처명" numFmtId="0">
      <sharedItems count="5">
        <s v="대한위성방송"/>
        <s v="상공상사"/>
        <s v="온누리"/>
        <s v="우주통산"/>
        <s v="홈플러스"/>
      </sharedItems>
    </cacheField>
    <cacheField name="제품명" numFmtId="0">
      <sharedItems count="3">
        <s v="모니터"/>
        <s v="스캐너"/>
        <s v="프린터"/>
      </sharedItems>
    </cacheField>
    <cacheField name="수량" numFmtId="0">
      <sharedItems containsSemiMixedTypes="0" containsString="0" containsNumber="1" containsInteger="1" minValue="13" maxValue="345"/>
    </cacheField>
    <cacheField name="단가" numFmtId="41">
      <sharedItems containsSemiMixedTypes="0" containsString="0" containsNumber="1" containsInteger="1" minValue="135000" maxValue="225000"/>
    </cacheField>
    <cacheField name="공급가액" numFmtId="41">
      <sharedItems containsSemiMixedTypes="0" containsString="0" containsNumber="1" containsInteger="1" minValue="2015000" maxValue="46575000"/>
    </cacheField>
    <cacheField name="세액" numFmtId="41">
      <sharedItems containsSemiMixedTypes="0" containsString="0" containsNumber="1" containsInteger="1" minValue="201500" maxValue="465750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">
  <r>
    <x v="0"/>
    <x v="0"/>
    <n v="156"/>
    <n v="135000"/>
    <n v="21060000"/>
    <n v="2106000"/>
  </r>
  <r>
    <x v="1"/>
    <x v="0"/>
    <n v="44"/>
    <n v="135000"/>
    <n v="5940000"/>
    <n v="594000"/>
  </r>
  <r>
    <x v="2"/>
    <x v="0"/>
    <n v="142"/>
    <n v="135000"/>
    <n v="19170000"/>
    <n v="1917000"/>
  </r>
  <r>
    <x v="3"/>
    <x v="0"/>
    <n v="55"/>
    <n v="135000"/>
    <n v="7425000"/>
    <n v="742500"/>
  </r>
  <r>
    <x v="4"/>
    <x v="0"/>
    <n v="345"/>
    <n v="135000"/>
    <n v="46575000"/>
    <n v="4657500"/>
  </r>
  <r>
    <x v="0"/>
    <x v="1"/>
    <n v="100"/>
    <n v="225000"/>
    <n v="22500000"/>
    <n v="2250000"/>
  </r>
  <r>
    <x v="1"/>
    <x v="1"/>
    <n v="43"/>
    <n v="225000"/>
    <n v="9675000"/>
    <n v="967500"/>
  </r>
  <r>
    <x v="2"/>
    <x v="1"/>
    <n v="22"/>
    <n v="225000"/>
    <n v="4950000"/>
    <n v="495000"/>
  </r>
  <r>
    <x v="3"/>
    <x v="1"/>
    <n v="111"/>
    <n v="225000"/>
    <n v="24975000"/>
    <n v="2497500"/>
  </r>
  <r>
    <x v="4"/>
    <x v="1"/>
    <n v="200"/>
    <n v="225000"/>
    <n v="45000000"/>
    <n v="4500000"/>
  </r>
  <r>
    <x v="0"/>
    <x v="2"/>
    <n v="112"/>
    <n v="155000"/>
    <n v="17360000"/>
    <n v="1736000"/>
  </r>
  <r>
    <x v="1"/>
    <x v="2"/>
    <n v="18"/>
    <n v="155000"/>
    <n v="2790000"/>
    <n v="279000"/>
  </r>
  <r>
    <x v="2"/>
    <x v="2"/>
    <n v="100"/>
    <n v="155000"/>
    <n v="15500000"/>
    <n v="1550000"/>
  </r>
  <r>
    <x v="3"/>
    <x v="2"/>
    <n v="13"/>
    <n v="155000"/>
    <n v="2015000"/>
    <n v="201500"/>
  </r>
  <r>
    <x v="4"/>
    <x v="2"/>
    <n v="23"/>
    <n v="155000"/>
    <n v="3565000"/>
    <n v="356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8" autoFormatId="4097" applyNumberFormats="1" applyBorderFormats="1" applyFontFormats="1" applyPatternFormats="1" applyAlignmentFormats="1" applyWidthHeightFormats="1" dataCaption="값" updatedVersion="3" minRefreshableVersion="3" showCalcMbrs="0" useAutoFormatting="1" itemPrintTitles="1" createdVersion="3" indent="0" outline="1" outlineData="1" multipleFieldFilters="0">
  <location ref="A22:C28" firstHeaderRow="0" firstDataRow="1" firstDataCol="1" rowPageCount="1" colPageCount="1"/>
  <pivotFields count="6"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numFmtId="41" showAll="0"/>
    <pivotField dataField="1" numFmtId="41" showAll="0"/>
    <pivotField dataField="1" numFmtId="4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2" hier="-1"/>
  </pageFields>
  <dataFields count="2">
    <dataField name="평균 : 공급가액" fld="4" subtotal="average" baseField="0" baseItem="0"/>
    <dataField name="평균 : 세액" fld="5" subtotal="average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9"/>
  <sheetViews>
    <sheetView tabSelected="1" workbookViewId="0"/>
  </sheetViews>
  <sheetFormatPr defaultRowHeight="13.5"/>
  <cols>
    <col min="1" max="1" width="9.77734375" customWidth="1"/>
    <col min="2" max="2" width="17.44140625" bestFit="1" customWidth="1"/>
    <col min="3" max="3" width="11.6640625" customWidth="1"/>
    <col min="4" max="4" width="14" customWidth="1"/>
    <col min="5" max="5" width="10.33203125" customWidth="1"/>
    <col min="6" max="6" width="10.5546875" customWidth="1"/>
    <col min="7" max="7" width="15.6640625" customWidth="1"/>
  </cols>
  <sheetData>
    <row r="1" spans="1:7">
      <c r="A1" t="s">
        <v>22</v>
      </c>
    </row>
    <row r="3" spans="1:7">
      <c r="A3" t="s">
        <v>210</v>
      </c>
      <c r="B3" t="s">
        <v>217</v>
      </c>
      <c r="C3" t="s">
        <v>224</v>
      </c>
      <c r="D3" t="s">
        <v>225</v>
      </c>
      <c r="E3" t="s">
        <v>232</v>
      </c>
      <c r="F3" t="s">
        <v>239</v>
      </c>
      <c r="G3" t="s">
        <v>240</v>
      </c>
    </row>
    <row r="4" spans="1:7">
      <c r="A4" t="s">
        <v>211</v>
      </c>
      <c r="B4" t="s">
        <v>218</v>
      </c>
      <c r="C4">
        <v>780000</v>
      </c>
      <c r="D4" t="s">
        <v>226</v>
      </c>
      <c r="E4" t="s">
        <v>233</v>
      </c>
      <c r="F4" s="2">
        <v>40239</v>
      </c>
      <c r="G4" t="s">
        <v>241</v>
      </c>
    </row>
    <row r="5" spans="1:7">
      <c r="A5" t="s">
        <v>212</v>
      </c>
      <c r="B5" t="s">
        <v>219</v>
      </c>
      <c r="C5">
        <v>115000</v>
      </c>
      <c r="D5" t="s">
        <v>227</v>
      </c>
      <c r="E5" t="s">
        <v>234</v>
      </c>
      <c r="F5" s="2">
        <v>40048</v>
      </c>
      <c r="G5" t="s">
        <v>242</v>
      </c>
    </row>
    <row r="6" spans="1:7">
      <c r="A6" t="s">
        <v>213</v>
      </c>
      <c r="B6" t="s">
        <v>220</v>
      </c>
      <c r="C6">
        <v>167000</v>
      </c>
      <c r="D6" t="s">
        <v>228</v>
      </c>
      <c r="E6" t="s">
        <v>235</v>
      </c>
      <c r="F6" s="2">
        <v>40148</v>
      </c>
      <c r="G6" t="s">
        <v>243</v>
      </c>
    </row>
    <row r="7" spans="1:7">
      <c r="A7" t="s">
        <v>214</v>
      </c>
      <c r="B7" t="s">
        <v>221</v>
      </c>
      <c r="C7">
        <v>678000</v>
      </c>
      <c r="D7" t="s">
        <v>229</v>
      </c>
      <c r="E7" t="s">
        <v>236</v>
      </c>
      <c r="F7" s="2">
        <v>40350</v>
      </c>
      <c r="G7" t="s">
        <v>244</v>
      </c>
    </row>
    <row r="8" spans="1:7">
      <c r="A8" t="s">
        <v>215</v>
      </c>
      <c r="B8" t="s">
        <v>222</v>
      </c>
      <c r="C8">
        <v>87000</v>
      </c>
      <c r="D8" t="s">
        <v>230</v>
      </c>
      <c r="E8" t="s">
        <v>237</v>
      </c>
      <c r="F8" s="2">
        <v>36975</v>
      </c>
      <c r="G8" t="s">
        <v>245</v>
      </c>
    </row>
    <row r="9" spans="1:7">
      <c r="A9" t="s">
        <v>216</v>
      </c>
      <c r="B9" t="s">
        <v>223</v>
      </c>
      <c r="C9">
        <v>789000</v>
      </c>
      <c r="D9" t="s">
        <v>231</v>
      </c>
      <c r="E9" t="s">
        <v>238</v>
      </c>
      <c r="F9" s="2">
        <v>36990</v>
      </c>
      <c r="G9" t="s">
        <v>246</v>
      </c>
    </row>
  </sheetData>
  <phoneticPr fontId="2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>
    <oddFooter>&amp;C&amp;F&amp;A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13"/>
  <sheetViews>
    <sheetView workbookViewId="0">
      <selection sqref="A1:G1"/>
    </sheetView>
  </sheetViews>
  <sheetFormatPr defaultRowHeight="13.5"/>
  <cols>
    <col min="2" max="2" width="11.44140625" bestFit="1" customWidth="1"/>
    <col min="4" max="5" width="8.21875" bestFit="1" customWidth="1"/>
    <col min="6" max="6" width="8.5546875" customWidth="1"/>
    <col min="7" max="7" width="11.21875" customWidth="1"/>
  </cols>
  <sheetData>
    <row r="1" spans="1:8" ht="24" customHeight="1">
      <c r="A1" s="59" t="s">
        <v>178</v>
      </c>
      <c r="B1" s="59"/>
      <c r="C1" s="59"/>
      <c r="D1" s="59"/>
      <c r="E1" s="59"/>
      <c r="F1" s="59"/>
      <c r="G1" s="59"/>
      <c r="H1" s="1"/>
    </row>
    <row r="2" spans="1:8">
      <c r="A2" s="1"/>
      <c r="B2" s="1"/>
      <c r="C2" s="1"/>
      <c r="D2" s="1"/>
      <c r="E2" s="1"/>
      <c r="F2" s="1"/>
      <c r="G2" s="1"/>
      <c r="H2" s="1"/>
    </row>
    <row r="3" spans="1:8">
      <c r="A3" s="3" t="s">
        <v>0</v>
      </c>
      <c r="B3" s="3" t="s">
        <v>1</v>
      </c>
      <c r="C3" s="3" t="s">
        <v>179</v>
      </c>
      <c r="D3" s="3" t="s">
        <v>180</v>
      </c>
      <c r="E3" s="3" t="s">
        <v>181</v>
      </c>
      <c r="F3" s="3" t="s">
        <v>182</v>
      </c>
      <c r="G3" s="3" t="s">
        <v>183</v>
      </c>
    </row>
    <row r="4" spans="1:8">
      <c r="A4" s="12" t="s">
        <v>184</v>
      </c>
      <c r="B4" s="57">
        <v>38194</v>
      </c>
      <c r="C4" s="12" t="s">
        <v>185</v>
      </c>
      <c r="D4" s="44">
        <v>55</v>
      </c>
      <c r="E4" s="44">
        <v>220</v>
      </c>
      <c r="F4" s="44">
        <v>160</v>
      </c>
      <c r="G4" s="43">
        <v>800000</v>
      </c>
    </row>
    <row r="5" spans="1:8">
      <c r="A5" s="12" t="s">
        <v>186</v>
      </c>
      <c r="B5" s="57">
        <v>38195</v>
      </c>
      <c r="C5" s="12" t="s">
        <v>187</v>
      </c>
      <c r="D5" s="44">
        <v>45</v>
      </c>
      <c r="E5" s="44">
        <v>120</v>
      </c>
      <c r="F5" s="44">
        <v>130</v>
      </c>
      <c r="G5" s="43">
        <v>650000</v>
      </c>
    </row>
    <row r="6" spans="1:8">
      <c r="A6" s="12" t="s">
        <v>188</v>
      </c>
      <c r="B6" s="57">
        <v>38196</v>
      </c>
      <c r="C6" s="12" t="s">
        <v>189</v>
      </c>
      <c r="D6" s="44">
        <v>29</v>
      </c>
      <c r="E6" s="44">
        <v>100</v>
      </c>
      <c r="F6" s="44">
        <v>115</v>
      </c>
      <c r="G6" s="43">
        <v>575000</v>
      </c>
    </row>
    <row r="7" spans="1:8">
      <c r="A7" s="12" t="s">
        <v>190</v>
      </c>
      <c r="B7" s="57">
        <v>38245</v>
      </c>
      <c r="C7" s="12" t="s">
        <v>191</v>
      </c>
      <c r="D7" s="44">
        <v>30</v>
      </c>
      <c r="E7" s="44">
        <v>220</v>
      </c>
      <c r="F7" s="44">
        <v>210</v>
      </c>
      <c r="G7" s="43">
        <v>1050000</v>
      </c>
    </row>
    <row r="8" spans="1:8">
      <c r="A8" s="12" t="s">
        <v>192</v>
      </c>
      <c r="B8" s="57">
        <v>38246</v>
      </c>
      <c r="C8" s="12" t="s">
        <v>185</v>
      </c>
      <c r="D8" s="44">
        <v>26</v>
      </c>
      <c r="E8" s="44">
        <v>210</v>
      </c>
      <c r="F8" s="44">
        <v>220</v>
      </c>
      <c r="G8" s="43">
        <v>1100000</v>
      </c>
    </row>
    <row r="9" spans="1:8">
      <c r="A9" s="12" t="s">
        <v>193</v>
      </c>
      <c r="B9" s="57">
        <v>38247</v>
      </c>
      <c r="C9" s="12" t="s">
        <v>187</v>
      </c>
      <c r="D9" s="44">
        <v>77</v>
      </c>
      <c r="E9" s="44">
        <v>150</v>
      </c>
      <c r="F9" s="44">
        <v>170</v>
      </c>
      <c r="G9" s="43">
        <v>850000</v>
      </c>
    </row>
    <row r="10" spans="1:8">
      <c r="A10" s="12" t="s">
        <v>194</v>
      </c>
      <c r="B10" s="57">
        <v>38249</v>
      </c>
      <c r="C10" s="12" t="s">
        <v>191</v>
      </c>
      <c r="D10" s="44">
        <v>55</v>
      </c>
      <c r="E10" s="44">
        <v>140</v>
      </c>
      <c r="F10" s="44">
        <v>190</v>
      </c>
      <c r="G10" s="43">
        <v>950000</v>
      </c>
    </row>
    <row r="11" spans="1:8">
      <c r="A11" s="12" t="s">
        <v>195</v>
      </c>
      <c r="B11" s="57">
        <v>38250</v>
      </c>
      <c r="C11" s="12" t="s">
        <v>188</v>
      </c>
      <c r="D11" s="44">
        <v>67</v>
      </c>
      <c r="E11" s="44">
        <v>130</v>
      </c>
      <c r="F11" s="44">
        <v>195</v>
      </c>
      <c r="G11" s="43">
        <v>975000</v>
      </c>
    </row>
    <row r="12" spans="1:8">
      <c r="A12" s="12" t="s">
        <v>196</v>
      </c>
      <c r="B12" s="57">
        <v>38251</v>
      </c>
      <c r="C12" s="12" t="s">
        <v>197</v>
      </c>
      <c r="D12" s="44">
        <v>78</v>
      </c>
      <c r="E12" s="44">
        <v>90</v>
      </c>
      <c r="F12" s="44">
        <v>155</v>
      </c>
      <c r="G12" s="43">
        <v>775000</v>
      </c>
    </row>
    <row r="13" spans="1:8">
      <c r="A13" s="12" t="s">
        <v>198</v>
      </c>
      <c r="B13" s="58"/>
      <c r="C13" s="58"/>
      <c r="D13" s="45"/>
      <c r="E13" s="45"/>
      <c r="F13" s="45"/>
      <c r="G13" s="43">
        <v>7725000</v>
      </c>
    </row>
  </sheetData>
  <mergeCells count="1">
    <mergeCell ref="A1:G1"/>
  </mergeCells>
  <phoneticPr fontId="2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11"/>
  <sheetViews>
    <sheetView workbookViewId="0">
      <selection sqref="A1:G1"/>
    </sheetView>
  </sheetViews>
  <sheetFormatPr defaultRowHeight="13.5"/>
  <cols>
    <col min="1" max="1" width="7.88671875" customWidth="1"/>
    <col min="2" max="2" width="17.44140625" bestFit="1" customWidth="1"/>
    <col min="3" max="3" width="9.77734375" bestFit="1" customWidth="1"/>
    <col min="4" max="5" width="7.5546875" customWidth="1"/>
    <col min="6" max="7" width="12.88671875" bestFit="1" customWidth="1"/>
    <col min="8" max="9" width="9" customWidth="1"/>
    <col min="10" max="10" width="7.33203125" customWidth="1"/>
  </cols>
  <sheetData>
    <row r="1" spans="1:7" ht="20.25">
      <c r="A1" s="60" t="s">
        <v>23</v>
      </c>
      <c r="B1" s="60"/>
      <c r="C1" s="60"/>
      <c r="D1" s="60"/>
      <c r="E1" s="60"/>
      <c r="F1" s="60"/>
      <c r="G1" s="60"/>
    </row>
    <row r="3" spans="1:7">
      <c r="A3" s="3" t="s">
        <v>2</v>
      </c>
      <c r="B3" s="3" t="s">
        <v>3</v>
      </c>
      <c r="C3" s="3" t="s">
        <v>4</v>
      </c>
      <c r="D3" s="3" t="s">
        <v>5</v>
      </c>
      <c r="E3" s="3" t="s">
        <v>6</v>
      </c>
      <c r="F3" s="3" t="s">
        <v>7</v>
      </c>
      <c r="G3" s="3" t="s">
        <v>8</v>
      </c>
    </row>
    <row r="4" spans="1:7">
      <c r="A4" s="3" t="s">
        <v>24</v>
      </c>
      <c r="B4" s="3" t="s">
        <v>25</v>
      </c>
      <c r="C4" s="4">
        <v>65000</v>
      </c>
      <c r="D4" s="3">
        <v>125</v>
      </c>
      <c r="E4" s="5">
        <v>0.2</v>
      </c>
      <c r="F4" s="4">
        <f t="shared" ref="F4:F11" si="0">C4*D4</f>
        <v>8125000</v>
      </c>
      <c r="G4" s="4">
        <f t="shared" ref="G4:G11" si="1">F4-F4*E4</f>
        <v>6500000</v>
      </c>
    </row>
    <row r="5" spans="1:7">
      <c r="A5" s="3" t="s">
        <v>26</v>
      </c>
      <c r="B5" s="3" t="s">
        <v>27</v>
      </c>
      <c r="C5" s="4">
        <v>62000</v>
      </c>
      <c r="D5" s="3">
        <v>78</v>
      </c>
      <c r="E5" s="5">
        <v>0.05</v>
      </c>
      <c r="F5" s="4">
        <f t="shared" si="0"/>
        <v>4836000</v>
      </c>
      <c r="G5" s="4">
        <f t="shared" si="1"/>
        <v>4594200</v>
      </c>
    </row>
    <row r="6" spans="1:7">
      <c r="A6" s="3" t="s">
        <v>28</v>
      </c>
      <c r="B6" s="3" t="s">
        <v>29</v>
      </c>
      <c r="C6" s="4">
        <v>30000</v>
      </c>
      <c r="D6" s="3">
        <v>68</v>
      </c>
      <c r="E6" s="5">
        <v>0.3</v>
      </c>
      <c r="F6" s="4">
        <f t="shared" si="0"/>
        <v>2040000</v>
      </c>
      <c r="G6" s="4">
        <f t="shared" si="1"/>
        <v>1428000</v>
      </c>
    </row>
    <row r="7" spans="1:7">
      <c r="A7" s="3" t="s">
        <v>28</v>
      </c>
      <c r="B7" s="3" t="s">
        <v>30</v>
      </c>
      <c r="C7" s="4">
        <v>80000</v>
      </c>
      <c r="D7" s="3">
        <v>100</v>
      </c>
      <c r="E7" s="5">
        <v>0.3</v>
      </c>
      <c r="F7" s="4">
        <f t="shared" si="0"/>
        <v>8000000</v>
      </c>
      <c r="G7" s="4">
        <f t="shared" si="1"/>
        <v>5600000</v>
      </c>
    </row>
    <row r="8" spans="1:7">
      <c r="A8" s="3" t="s">
        <v>9</v>
      </c>
      <c r="B8" s="3" t="s">
        <v>31</v>
      </c>
      <c r="C8" s="4">
        <v>35000</v>
      </c>
      <c r="D8" s="3">
        <v>93</v>
      </c>
      <c r="E8" s="5">
        <v>0.2</v>
      </c>
      <c r="F8" s="4">
        <f t="shared" si="0"/>
        <v>3255000</v>
      </c>
      <c r="G8" s="4">
        <f t="shared" si="1"/>
        <v>2604000</v>
      </c>
    </row>
    <row r="9" spans="1:7">
      <c r="A9" s="3" t="s">
        <v>32</v>
      </c>
      <c r="B9" s="3" t="s">
        <v>33</v>
      </c>
      <c r="C9" s="4">
        <v>32000</v>
      </c>
      <c r="D9" s="3">
        <v>50</v>
      </c>
      <c r="E9" s="5">
        <v>0.2</v>
      </c>
      <c r="F9" s="4">
        <f t="shared" si="0"/>
        <v>1600000</v>
      </c>
      <c r="G9" s="4">
        <f t="shared" si="1"/>
        <v>1280000</v>
      </c>
    </row>
    <row r="10" spans="1:7">
      <c r="A10" s="3" t="s">
        <v>26</v>
      </c>
      <c r="B10" s="3" t="s">
        <v>34</v>
      </c>
      <c r="C10" s="4">
        <v>60000</v>
      </c>
      <c r="D10" s="3">
        <v>88</v>
      </c>
      <c r="E10" s="5">
        <v>0.05</v>
      </c>
      <c r="F10" s="4">
        <f t="shared" si="0"/>
        <v>5280000</v>
      </c>
      <c r="G10" s="4">
        <f t="shared" si="1"/>
        <v>5016000</v>
      </c>
    </row>
    <row r="11" spans="1:7">
      <c r="A11" s="3" t="s">
        <v>24</v>
      </c>
      <c r="B11" s="3" t="s">
        <v>35</v>
      </c>
      <c r="C11" s="4">
        <v>28000</v>
      </c>
      <c r="D11" s="3">
        <v>110</v>
      </c>
      <c r="E11" s="5">
        <v>0.2</v>
      </c>
      <c r="F11" s="4">
        <f t="shared" si="0"/>
        <v>3080000</v>
      </c>
      <c r="G11" s="4">
        <f t="shared" si="1"/>
        <v>2464000</v>
      </c>
    </row>
  </sheetData>
  <mergeCells count="1">
    <mergeCell ref="A1:G1"/>
  </mergeCells>
  <phoneticPr fontId="2" type="noConversion"/>
  <conditionalFormatting sqref="A4:G11">
    <cfRule type="expression" dxfId="0" priority="1">
      <formula>AND($C4&gt;=60000,$D4&gt;=80)</formula>
    </cfRule>
  </conditionalFormatting>
  <printOptions headings="1" gridLines="1"/>
  <pageMargins left="0.76" right="0.69" top="1" bottom="1" header="0.5" footer="0.5"/>
  <pageSetup paperSize="9" orientation="landscape" r:id="rId1"/>
  <headerFooter alignWithMargins="0">
    <oddFooter>&amp;C&amp;F&amp;A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K33"/>
  <sheetViews>
    <sheetView workbookViewId="0"/>
  </sheetViews>
  <sheetFormatPr defaultRowHeight="13.5"/>
  <cols>
    <col min="1" max="1" width="9.33203125" style="8" bestFit="1" customWidth="1"/>
    <col min="2" max="2" width="8.88671875" style="8"/>
    <col min="3" max="3" width="8.21875" style="8" bestFit="1" customWidth="1"/>
    <col min="4" max="4" width="9.5546875" style="8" customWidth="1"/>
    <col min="5" max="5" width="9.6640625" style="6" customWidth="1"/>
    <col min="6" max="6" width="9.77734375" style="7" customWidth="1"/>
    <col min="7" max="16384" width="8.88671875" style="8"/>
  </cols>
  <sheetData>
    <row r="1" spans="1:11">
      <c r="A1" t="s">
        <v>48</v>
      </c>
      <c r="B1" t="s">
        <v>79</v>
      </c>
      <c r="C1"/>
      <c r="D1"/>
      <c r="G1" s="7" t="s">
        <v>49</v>
      </c>
      <c r="H1" s="8" t="s">
        <v>86</v>
      </c>
    </row>
    <row r="2" spans="1:11">
      <c r="A2" s="3" t="s">
        <v>75</v>
      </c>
      <c r="B2" s="3" t="s">
        <v>47</v>
      </c>
      <c r="C2" s="9" t="s">
        <v>50</v>
      </c>
      <c r="D2" s="10" t="s">
        <v>72</v>
      </c>
      <c r="G2" s="62" t="s">
        <v>80</v>
      </c>
      <c r="H2" s="62"/>
      <c r="I2" s="11" t="s">
        <v>47</v>
      </c>
      <c r="J2" s="11" t="s">
        <v>87</v>
      </c>
      <c r="K2" s="14" t="s">
        <v>81</v>
      </c>
    </row>
    <row r="3" spans="1:11">
      <c r="A3" s="3" t="s">
        <v>77</v>
      </c>
      <c r="B3" s="3" t="s">
        <v>51</v>
      </c>
      <c r="C3" s="12">
        <v>12</v>
      </c>
      <c r="D3" s="3" t="str">
        <f t="shared" ref="D3:D10" si="0">IF( RANK(C3, $C$3:$C$10)&lt;=3, "A", IF(RANK(C3, $C$3:$C$10)&lt;=6, "B", "C") )</f>
        <v>B</v>
      </c>
      <c r="G3" s="63" t="s">
        <v>257</v>
      </c>
      <c r="H3" s="62"/>
      <c r="I3" s="13" t="s">
        <v>83</v>
      </c>
      <c r="J3" s="13" t="s">
        <v>88</v>
      </c>
      <c r="K3" s="13" t="str">
        <f t="shared" ref="K3:K10" si="1">CHOOSE( MOD(MID(G3, 8, 1), 5), "남자", "여자", "남자", "여자" )</f>
        <v>여자</v>
      </c>
    </row>
    <row r="4" spans="1:11">
      <c r="A4" s="3" t="s">
        <v>76</v>
      </c>
      <c r="B4" s="3" t="s">
        <v>52</v>
      </c>
      <c r="C4" s="12">
        <v>13</v>
      </c>
      <c r="D4" s="3" t="str">
        <f t="shared" si="0"/>
        <v>A</v>
      </c>
      <c r="G4" s="63" t="s">
        <v>258</v>
      </c>
      <c r="H4" s="62"/>
      <c r="I4" s="13" t="s">
        <v>82</v>
      </c>
      <c r="J4" s="13" t="s">
        <v>89</v>
      </c>
      <c r="K4" s="13" t="str">
        <f t="shared" si="1"/>
        <v>남자</v>
      </c>
    </row>
    <row r="5" spans="1:11">
      <c r="A5" s="3" t="s">
        <v>78</v>
      </c>
      <c r="B5" s="3" t="s">
        <v>54</v>
      </c>
      <c r="C5" s="12">
        <v>14</v>
      </c>
      <c r="D5" s="3" t="str">
        <f t="shared" si="0"/>
        <v>A</v>
      </c>
      <c r="G5" s="63" t="s">
        <v>259</v>
      </c>
      <c r="H5" s="62"/>
      <c r="I5" s="13" t="s">
        <v>53</v>
      </c>
      <c r="J5" s="13" t="s">
        <v>88</v>
      </c>
      <c r="K5" s="13" t="str">
        <f t="shared" si="1"/>
        <v>여자</v>
      </c>
    </row>
    <row r="6" spans="1:11">
      <c r="A6" s="3" t="s">
        <v>78</v>
      </c>
      <c r="B6" s="3" t="s">
        <v>55</v>
      </c>
      <c r="C6" s="12">
        <v>5</v>
      </c>
      <c r="D6" s="3" t="str">
        <f t="shared" si="0"/>
        <v>C</v>
      </c>
      <c r="G6" s="63" t="s">
        <v>260</v>
      </c>
      <c r="H6" s="62"/>
      <c r="I6" s="13" t="s">
        <v>84</v>
      </c>
      <c r="J6" s="13" t="s">
        <v>90</v>
      </c>
      <c r="K6" s="13" t="str">
        <f t="shared" si="1"/>
        <v>남자</v>
      </c>
    </row>
    <row r="7" spans="1:11">
      <c r="A7" s="3" t="s">
        <v>76</v>
      </c>
      <c r="B7" s="3" t="s">
        <v>56</v>
      </c>
      <c r="C7" s="12">
        <v>7</v>
      </c>
      <c r="D7" s="3" t="str">
        <f t="shared" si="0"/>
        <v>C</v>
      </c>
      <c r="G7" s="63" t="s">
        <v>261</v>
      </c>
      <c r="H7" s="62"/>
      <c r="I7" s="13" t="s">
        <v>57</v>
      </c>
      <c r="J7" s="13" t="s">
        <v>90</v>
      </c>
      <c r="K7" s="13" t="str">
        <f t="shared" si="1"/>
        <v>남자</v>
      </c>
    </row>
    <row r="8" spans="1:11">
      <c r="A8" s="3" t="s">
        <v>76</v>
      </c>
      <c r="B8" s="3" t="s">
        <v>58</v>
      </c>
      <c r="C8" s="12">
        <v>10</v>
      </c>
      <c r="D8" s="3" t="str">
        <f t="shared" si="0"/>
        <v>B</v>
      </c>
      <c r="G8" s="63" t="s">
        <v>262</v>
      </c>
      <c r="H8" s="62"/>
      <c r="I8" s="13" t="s">
        <v>59</v>
      </c>
      <c r="J8" s="13" t="s">
        <v>91</v>
      </c>
      <c r="K8" s="13" t="str">
        <f t="shared" si="1"/>
        <v>남자</v>
      </c>
    </row>
    <row r="9" spans="1:11">
      <c r="A9" s="18" t="s">
        <v>77</v>
      </c>
      <c r="B9" s="20" t="s">
        <v>73</v>
      </c>
      <c r="C9" s="35">
        <v>15</v>
      </c>
      <c r="D9" s="3" t="str">
        <f t="shared" si="0"/>
        <v>A</v>
      </c>
      <c r="G9" s="63" t="s">
        <v>263</v>
      </c>
      <c r="H9" s="62"/>
      <c r="I9" s="11" t="s">
        <v>85</v>
      </c>
      <c r="J9" s="11" t="s">
        <v>92</v>
      </c>
      <c r="K9" s="13" t="str">
        <f t="shared" si="1"/>
        <v>여자</v>
      </c>
    </row>
    <row r="10" spans="1:11">
      <c r="A10" s="18" t="s">
        <v>78</v>
      </c>
      <c r="B10" s="20" t="s">
        <v>74</v>
      </c>
      <c r="C10" s="35">
        <v>9</v>
      </c>
      <c r="D10" s="3" t="str">
        <f t="shared" si="0"/>
        <v>B</v>
      </c>
      <c r="F10" s="34"/>
      <c r="G10" s="64" t="s">
        <v>264</v>
      </c>
      <c r="H10" s="65"/>
      <c r="I10" s="13" t="s">
        <v>94</v>
      </c>
      <c r="J10" s="13" t="s">
        <v>93</v>
      </c>
      <c r="K10" s="13" t="str">
        <f t="shared" si="1"/>
        <v>여자</v>
      </c>
    </row>
    <row r="12" spans="1:11">
      <c r="A12" s="15" t="s">
        <v>37</v>
      </c>
      <c r="B12" s="15" t="s">
        <v>38</v>
      </c>
      <c r="G12" s="23" t="s">
        <v>97</v>
      </c>
      <c r="H12" s="8" t="s">
        <v>108</v>
      </c>
    </row>
    <row r="13" spans="1:11">
      <c r="A13" s="3" t="s">
        <v>39</v>
      </c>
      <c r="B13" s="3" t="s">
        <v>40</v>
      </c>
      <c r="C13" s="3" t="s">
        <v>41</v>
      </c>
      <c r="D13" s="18" t="s">
        <v>96</v>
      </c>
      <c r="E13" s="10" t="s">
        <v>95</v>
      </c>
      <c r="F13" s="8"/>
      <c r="G13" s="11" t="s">
        <v>107</v>
      </c>
      <c r="H13" s="11" t="s">
        <v>99</v>
      </c>
      <c r="I13" s="11" t="s">
        <v>106</v>
      </c>
      <c r="J13" s="11" t="s">
        <v>113</v>
      </c>
      <c r="K13" s="11" t="s">
        <v>114</v>
      </c>
    </row>
    <row r="14" spans="1:11">
      <c r="A14" s="3" t="s">
        <v>42</v>
      </c>
      <c r="B14" s="4">
        <v>2550</v>
      </c>
      <c r="C14" s="3">
        <v>55</v>
      </c>
      <c r="D14" s="19">
        <f>B14*C14</f>
        <v>140250</v>
      </c>
      <c r="E14" s="31">
        <f>D14*HLOOKUP( C14, $B$21:$D$22, 2 )</f>
        <v>4207.5</v>
      </c>
      <c r="F14" s="8"/>
      <c r="G14" s="13" t="s">
        <v>109</v>
      </c>
      <c r="H14" s="13" t="s">
        <v>100</v>
      </c>
      <c r="I14" s="13">
        <v>6000</v>
      </c>
      <c r="J14" s="13">
        <v>67</v>
      </c>
      <c r="K14" s="11">
        <f>I14*J14</f>
        <v>402000</v>
      </c>
    </row>
    <row r="15" spans="1:11">
      <c r="A15" s="3" t="s">
        <v>44</v>
      </c>
      <c r="B15" s="4">
        <v>12350</v>
      </c>
      <c r="C15" s="3">
        <v>38</v>
      </c>
      <c r="D15" s="19">
        <f>B15*C15</f>
        <v>469300</v>
      </c>
      <c r="E15" s="31">
        <f t="shared" ref="E15:E18" si="2">D15*HLOOKUP( C15, $B$21:$D$22, 2 )</f>
        <v>0</v>
      </c>
      <c r="F15" s="8"/>
      <c r="G15" s="13" t="s">
        <v>110</v>
      </c>
      <c r="H15" s="13" t="s">
        <v>101</v>
      </c>
      <c r="I15" s="13">
        <v>8000</v>
      </c>
      <c r="J15" s="13">
        <v>98</v>
      </c>
      <c r="K15" s="11">
        <f t="shared" ref="K15:K22" si="3">I15*J15</f>
        <v>784000</v>
      </c>
    </row>
    <row r="16" spans="1:11">
      <c r="A16" s="3" t="s">
        <v>60</v>
      </c>
      <c r="B16" s="4">
        <v>3450</v>
      </c>
      <c r="C16" s="3">
        <v>60</v>
      </c>
      <c r="D16" s="19">
        <f>B16*C16</f>
        <v>207000</v>
      </c>
      <c r="E16" s="31">
        <f t="shared" si="2"/>
        <v>6210</v>
      </c>
      <c r="F16" s="8"/>
      <c r="G16" s="13" t="s">
        <v>112</v>
      </c>
      <c r="H16" s="13" t="s">
        <v>102</v>
      </c>
      <c r="I16" s="13">
        <v>6000</v>
      </c>
      <c r="J16" s="13">
        <v>80</v>
      </c>
      <c r="K16" s="11">
        <f t="shared" si="3"/>
        <v>480000</v>
      </c>
    </row>
    <row r="17" spans="1:11">
      <c r="A17" s="3" t="s">
        <v>62</v>
      </c>
      <c r="B17" s="4">
        <v>765</v>
      </c>
      <c r="C17" s="3">
        <v>100</v>
      </c>
      <c r="D17" s="19">
        <f>B17*C17</f>
        <v>76500</v>
      </c>
      <c r="E17" s="31">
        <f t="shared" si="2"/>
        <v>4590</v>
      </c>
      <c r="F17" s="8"/>
      <c r="G17" s="13" t="s">
        <v>111</v>
      </c>
      <c r="H17" s="13" t="s">
        <v>103</v>
      </c>
      <c r="I17" s="13">
        <v>5000</v>
      </c>
      <c r="J17" s="13">
        <v>78</v>
      </c>
      <c r="K17" s="11">
        <f t="shared" si="3"/>
        <v>390000</v>
      </c>
    </row>
    <row r="18" spans="1:11">
      <c r="A18" s="3" t="s">
        <v>64</v>
      </c>
      <c r="B18" s="4">
        <v>7650</v>
      </c>
      <c r="C18" s="3">
        <v>77</v>
      </c>
      <c r="D18" s="19">
        <f>B18*C18</f>
        <v>589050</v>
      </c>
      <c r="E18" s="31">
        <f t="shared" si="2"/>
        <v>35343</v>
      </c>
      <c r="F18" s="8"/>
      <c r="G18" s="13" t="s">
        <v>111</v>
      </c>
      <c r="H18" s="13" t="s">
        <v>104</v>
      </c>
      <c r="I18" s="13">
        <v>5000</v>
      </c>
      <c r="J18" s="13">
        <v>87</v>
      </c>
      <c r="K18" s="11">
        <f t="shared" si="3"/>
        <v>435000</v>
      </c>
    </row>
    <row r="19" spans="1:11">
      <c r="A19"/>
      <c r="B19"/>
      <c r="C19"/>
      <c r="D19"/>
      <c r="E19" s="7"/>
      <c r="F19" s="8"/>
      <c r="G19" s="13" t="s">
        <v>112</v>
      </c>
      <c r="H19" s="13" t="s">
        <v>104</v>
      </c>
      <c r="I19" s="13">
        <v>6000</v>
      </c>
      <c r="J19" s="13">
        <v>78</v>
      </c>
      <c r="K19" s="11">
        <f t="shared" si="3"/>
        <v>468000</v>
      </c>
    </row>
    <row r="20" spans="1:11">
      <c r="A20" s="61" t="s">
        <v>67</v>
      </c>
      <c r="B20" s="61"/>
      <c r="C20" s="61"/>
      <c r="D20" s="61"/>
      <c r="E20" s="32"/>
      <c r="F20" s="8"/>
      <c r="G20" s="13" t="s">
        <v>110</v>
      </c>
      <c r="H20" s="13" t="s">
        <v>105</v>
      </c>
      <c r="I20" s="13">
        <v>8000</v>
      </c>
      <c r="J20" s="13">
        <v>98</v>
      </c>
      <c r="K20" s="11">
        <f t="shared" si="3"/>
        <v>784000</v>
      </c>
    </row>
    <row r="21" spans="1:11">
      <c r="A21" s="3" t="s">
        <v>69</v>
      </c>
      <c r="B21" s="3">
        <v>1</v>
      </c>
      <c r="C21" s="3">
        <v>40</v>
      </c>
      <c r="D21" s="3">
        <v>70</v>
      </c>
      <c r="E21" s="33"/>
      <c r="F21" s="8"/>
      <c r="G21" s="13" t="s">
        <v>110</v>
      </c>
      <c r="H21" s="13" t="s">
        <v>103</v>
      </c>
      <c r="I21" s="13">
        <v>8000</v>
      </c>
      <c r="J21" s="13">
        <v>89</v>
      </c>
      <c r="K21" s="11">
        <f t="shared" si="3"/>
        <v>712000</v>
      </c>
    </row>
    <row r="22" spans="1:11">
      <c r="A22" s="20" t="s">
        <v>71</v>
      </c>
      <c r="B22" s="21">
        <v>0</v>
      </c>
      <c r="C22" s="22">
        <v>0.03</v>
      </c>
      <c r="D22" s="22">
        <v>0.06</v>
      </c>
      <c r="E22" s="33"/>
      <c r="F22" s="8"/>
      <c r="G22" s="13" t="s">
        <v>111</v>
      </c>
      <c r="H22" s="13" t="s">
        <v>105</v>
      </c>
      <c r="I22" s="13">
        <v>5000</v>
      </c>
      <c r="J22" s="13">
        <v>97</v>
      </c>
      <c r="K22" s="11">
        <f t="shared" si="3"/>
        <v>485000</v>
      </c>
    </row>
    <row r="23" spans="1:11">
      <c r="C23"/>
      <c r="D23"/>
      <c r="E23" s="7"/>
      <c r="F23" s="8"/>
      <c r="H23" s="37" t="s">
        <v>209</v>
      </c>
    </row>
    <row r="24" spans="1:11">
      <c r="A24" s="16" t="s">
        <v>98</v>
      </c>
      <c r="B24" s="16" t="s">
        <v>115</v>
      </c>
      <c r="C24" s="17"/>
      <c r="D24" s="17"/>
      <c r="E24" s="17"/>
      <c r="H24" s="36">
        <f>ROUNDUP( DAVERAGE(G13:K22, 5, H13:H14), -4 )</f>
        <v>560000</v>
      </c>
    </row>
    <row r="25" spans="1:11">
      <c r="A25" s="3" t="s">
        <v>36</v>
      </c>
      <c r="B25" s="3" t="s">
        <v>116</v>
      </c>
      <c r="C25" s="3" t="s">
        <v>117</v>
      </c>
      <c r="D25" s="20" t="s">
        <v>118</v>
      </c>
      <c r="E25" s="18" t="s">
        <v>120</v>
      </c>
      <c r="F25" s="10" t="s">
        <v>119</v>
      </c>
    </row>
    <row r="26" spans="1:11">
      <c r="A26" s="3" t="s">
        <v>43</v>
      </c>
      <c r="B26" s="3">
        <v>78</v>
      </c>
      <c r="C26" s="3">
        <v>65</v>
      </c>
      <c r="D26" s="3">
        <v>64</v>
      </c>
      <c r="E26" s="3">
        <f>AVERAGE(B26:D26)</f>
        <v>69</v>
      </c>
      <c r="F26" s="18" t="str">
        <f>IF( AND(COUNTIF(B26:D26, "&gt;=50")=3, E26&gt;=60), "합격", "불합격" )</f>
        <v>합격</v>
      </c>
    </row>
    <row r="27" spans="1:11">
      <c r="A27" s="3" t="s">
        <v>45</v>
      </c>
      <c r="B27" s="3">
        <v>49</v>
      </c>
      <c r="C27" s="3">
        <v>50</v>
      </c>
      <c r="D27" s="3">
        <v>57</v>
      </c>
      <c r="E27" s="3">
        <f t="shared" ref="E27:E33" si="4">AVERAGE(B27:D27)</f>
        <v>52</v>
      </c>
      <c r="F27" s="18" t="str">
        <f t="shared" ref="F27:F33" si="5">IF( AND(COUNTIF(B27:D27, "&gt;=50")=3, E27&gt;=60), "합격", "불합격" )</f>
        <v>불합격</v>
      </c>
    </row>
    <row r="28" spans="1:11">
      <c r="A28" s="3" t="s">
        <v>61</v>
      </c>
      <c r="B28" s="3">
        <v>66</v>
      </c>
      <c r="C28" s="3">
        <v>54</v>
      </c>
      <c r="D28" s="3">
        <v>87</v>
      </c>
      <c r="E28" s="3">
        <f t="shared" si="4"/>
        <v>69</v>
      </c>
      <c r="F28" s="18" t="str">
        <f t="shared" si="5"/>
        <v>합격</v>
      </c>
    </row>
    <row r="29" spans="1:11">
      <c r="A29" s="3" t="s">
        <v>63</v>
      </c>
      <c r="B29" s="3">
        <v>48</v>
      </c>
      <c r="C29" s="3">
        <v>70</v>
      </c>
      <c r="D29" s="3">
        <v>74</v>
      </c>
      <c r="E29" s="3">
        <f t="shared" si="4"/>
        <v>64</v>
      </c>
      <c r="F29" s="18" t="str">
        <f t="shared" si="5"/>
        <v>불합격</v>
      </c>
    </row>
    <row r="30" spans="1:11">
      <c r="A30" s="3" t="s">
        <v>65</v>
      </c>
      <c r="B30" s="3">
        <v>80</v>
      </c>
      <c r="C30" s="3">
        <v>60</v>
      </c>
      <c r="D30" s="3">
        <v>70</v>
      </c>
      <c r="E30" s="3">
        <f t="shared" si="4"/>
        <v>70</v>
      </c>
      <c r="F30" s="18" t="str">
        <f t="shared" si="5"/>
        <v>합격</v>
      </c>
    </row>
    <row r="31" spans="1:11">
      <c r="A31" s="3" t="s">
        <v>66</v>
      </c>
      <c r="B31" s="3">
        <v>50</v>
      </c>
      <c r="C31" s="3">
        <v>58</v>
      </c>
      <c r="D31" s="3">
        <v>48</v>
      </c>
      <c r="E31" s="3">
        <f t="shared" si="4"/>
        <v>52</v>
      </c>
      <c r="F31" s="18" t="str">
        <f t="shared" si="5"/>
        <v>불합격</v>
      </c>
    </row>
    <row r="32" spans="1:11">
      <c r="A32" s="3" t="s">
        <v>68</v>
      </c>
      <c r="B32" s="3">
        <v>89</v>
      </c>
      <c r="C32" s="3">
        <v>75</v>
      </c>
      <c r="D32" s="3">
        <v>55</v>
      </c>
      <c r="E32" s="3">
        <f t="shared" si="4"/>
        <v>73</v>
      </c>
      <c r="F32" s="18" t="str">
        <f t="shared" si="5"/>
        <v>합격</v>
      </c>
    </row>
    <row r="33" spans="1:6">
      <c r="A33" s="3" t="s">
        <v>70</v>
      </c>
      <c r="B33" s="3">
        <v>78</v>
      </c>
      <c r="C33" s="3">
        <v>69</v>
      </c>
      <c r="D33" s="3">
        <v>39</v>
      </c>
      <c r="E33" s="3">
        <f t="shared" si="4"/>
        <v>62</v>
      </c>
      <c r="F33" s="18" t="str">
        <f t="shared" si="5"/>
        <v>불합격</v>
      </c>
    </row>
  </sheetData>
  <mergeCells count="10">
    <mergeCell ref="A20:D20"/>
    <mergeCell ref="G2:H2"/>
    <mergeCell ref="G3:H3"/>
    <mergeCell ref="G4:H4"/>
    <mergeCell ref="G5:H5"/>
    <mergeCell ref="G6:H6"/>
    <mergeCell ref="G7:H7"/>
    <mergeCell ref="G8:H8"/>
    <mergeCell ref="G10:H10"/>
    <mergeCell ref="G9:H9"/>
  </mergeCells>
  <phoneticPr fontId="2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F29"/>
  <sheetViews>
    <sheetView workbookViewId="0">
      <selection sqref="A1:F1"/>
    </sheetView>
  </sheetViews>
  <sheetFormatPr defaultRowHeight="13.5"/>
  <cols>
    <col min="1" max="1" width="11.6640625" customWidth="1"/>
    <col min="2" max="2" width="15.33203125" customWidth="1"/>
    <col min="3" max="3" width="11.21875" customWidth="1"/>
    <col min="4" max="4" width="9.88671875" bestFit="1" customWidth="1"/>
    <col min="5" max="5" width="12.6640625" bestFit="1" customWidth="1"/>
    <col min="6" max="6" width="11.5546875" bestFit="1" customWidth="1"/>
    <col min="12" max="12" width="10.5546875" customWidth="1"/>
  </cols>
  <sheetData>
    <row r="1" spans="1:6" ht="20.25">
      <c r="A1" s="66" t="s">
        <v>132</v>
      </c>
      <c r="B1" s="66"/>
      <c r="C1" s="66"/>
      <c r="D1" s="66"/>
      <c r="E1" s="66"/>
      <c r="F1" s="66"/>
    </row>
    <row r="2" spans="1:6">
      <c r="A2" s="3" t="s">
        <v>10</v>
      </c>
      <c r="B2" s="3" t="s">
        <v>11</v>
      </c>
      <c r="C2" s="3" t="s">
        <v>5</v>
      </c>
      <c r="D2" s="3" t="s">
        <v>12</v>
      </c>
      <c r="E2" s="3" t="s">
        <v>13</v>
      </c>
      <c r="F2" s="3" t="s">
        <v>14</v>
      </c>
    </row>
    <row r="3" spans="1:6">
      <c r="A3" s="3" t="s">
        <v>125</v>
      </c>
      <c r="B3" s="3" t="s">
        <v>15</v>
      </c>
      <c r="C3" s="24">
        <v>156</v>
      </c>
      <c r="D3" s="4">
        <v>135000</v>
      </c>
      <c r="E3" s="29">
        <f>D3*C3</f>
        <v>21060000</v>
      </c>
      <c r="F3" s="30">
        <f>E3*10%</f>
        <v>2106000</v>
      </c>
    </row>
    <row r="4" spans="1:6">
      <c r="A4" s="3" t="s">
        <v>126</v>
      </c>
      <c r="B4" s="3" t="s">
        <v>15</v>
      </c>
      <c r="C4" s="24">
        <v>44</v>
      </c>
      <c r="D4" s="4">
        <v>135000</v>
      </c>
      <c r="E4" s="29">
        <f t="shared" ref="E4:E17" si="0">D4*C4</f>
        <v>5940000</v>
      </c>
      <c r="F4" s="30">
        <f t="shared" ref="F4:F17" si="1">E4*10%</f>
        <v>594000</v>
      </c>
    </row>
    <row r="5" spans="1:6">
      <c r="A5" s="3" t="s">
        <v>122</v>
      </c>
      <c r="B5" s="3" t="s">
        <v>15</v>
      </c>
      <c r="C5" s="24">
        <v>142</v>
      </c>
      <c r="D5" s="4">
        <v>135000</v>
      </c>
      <c r="E5" s="29">
        <f t="shared" si="0"/>
        <v>19170000</v>
      </c>
      <c r="F5" s="30">
        <f t="shared" si="1"/>
        <v>1917000</v>
      </c>
    </row>
    <row r="6" spans="1:6">
      <c r="A6" s="3" t="s">
        <v>124</v>
      </c>
      <c r="B6" s="3" t="s">
        <v>15</v>
      </c>
      <c r="C6" s="24">
        <v>55</v>
      </c>
      <c r="D6" s="4">
        <v>135000</v>
      </c>
      <c r="E6" s="29">
        <f t="shared" si="0"/>
        <v>7425000</v>
      </c>
      <c r="F6" s="30">
        <f t="shared" si="1"/>
        <v>742500</v>
      </c>
    </row>
    <row r="7" spans="1:6">
      <c r="A7" s="3" t="s">
        <v>121</v>
      </c>
      <c r="B7" s="3" t="s">
        <v>15</v>
      </c>
      <c r="C7" s="24">
        <v>345</v>
      </c>
      <c r="D7" s="4">
        <v>135000</v>
      </c>
      <c r="E7" s="29">
        <f t="shared" si="0"/>
        <v>46575000</v>
      </c>
      <c r="F7" s="30">
        <f t="shared" si="1"/>
        <v>4657500</v>
      </c>
    </row>
    <row r="8" spans="1:6">
      <c r="A8" s="3" t="s">
        <v>125</v>
      </c>
      <c r="B8" s="3" t="s">
        <v>128</v>
      </c>
      <c r="C8" s="24">
        <v>100</v>
      </c>
      <c r="D8" s="4">
        <v>225000</v>
      </c>
      <c r="E8" s="29">
        <f t="shared" si="0"/>
        <v>22500000</v>
      </c>
      <c r="F8" s="30">
        <f t="shared" si="1"/>
        <v>2250000</v>
      </c>
    </row>
    <row r="9" spans="1:6">
      <c r="A9" s="3" t="s">
        <v>129</v>
      </c>
      <c r="B9" s="3" t="s">
        <v>130</v>
      </c>
      <c r="C9" s="24">
        <v>43</v>
      </c>
      <c r="D9" s="4">
        <v>225000</v>
      </c>
      <c r="E9" s="29">
        <f t="shared" si="0"/>
        <v>9675000</v>
      </c>
      <c r="F9" s="30">
        <f t="shared" si="1"/>
        <v>967500</v>
      </c>
    </row>
    <row r="10" spans="1:6">
      <c r="A10" s="3" t="s">
        <v>122</v>
      </c>
      <c r="B10" s="3" t="s">
        <v>127</v>
      </c>
      <c r="C10" s="24">
        <v>22</v>
      </c>
      <c r="D10" s="4">
        <v>225000</v>
      </c>
      <c r="E10" s="29">
        <f t="shared" si="0"/>
        <v>4950000</v>
      </c>
      <c r="F10" s="30">
        <f t="shared" si="1"/>
        <v>495000</v>
      </c>
    </row>
    <row r="11" spans="1:6">
      <c r="A11" s="3" t="s">
        <v>124</v>
      </c>
      <c r="B11" s="3" t="s">
        <v>127</v>
      </c>
      <c r="C11" s="24">
        <v>111</v>
      </c>
      <c r="D11" s="4">
        <v>225000</v>
      </c>
      <c r="E11" s="29">
        <f t="shared" si="0"/>
        <v>24975000</v>
      </c>
      <c r="F11" s="30">
        <f t="shared" si="1"/>
        <v>2497500</v>
      </c>
    </row>
    <row r="12" spans="1:6">
      <c r="A12" s="3" t="s">
        <v>121</v>
      </c>
      <c r="B12" s="3" t="s">
        <v>127</v>
      </c>
      <c r="C12" s="24">
        <v>200</v>
      </c>
      <c r="D12" s="4">
        <v>225000</v>
      </c>
      <c r="E12" s="29">
        <f t="shared" si="0"/>
        <v>45000000</v>
      </c>
      <c r="F12" s="30">
        <f t="shared" si="1"/>
        <v>4500000</v>
      </c>
    </row>
    <row r="13" spans="1:6">
      <c r="A13" s="18" t="s">
        <v>125</v>
      </c>
      <c r="B13" s="18" t="s">
        <v>123</v>
      </c>
      <c r="C13" s="25">
        <v>112</v>
      </c>
      <c r="D13" s="29">
        <v>155000</v>
      </c>
      <c r="E13" s="29">
        <f t="shared" si="0"/>
        <v>17360000</v>
      </c>
      <c r="F13" s="30">
        <f t="shared" si="1"/>
        <v>1736000</v>
      </c>
    </row>
    <row r="14" spans="1:6">
      <c r="A14" s="3" t="s">
        <v>126</v>
      </c>
      <c r="B14" s="3" t="s">
        <v>123</v>
      </c>
      <c r="C14" s="24">
        <v>18</v>
      </c>
      <c r="D14" s="29">
        <v>155000</v>
      </c>
      <c r="E14" s="29">
        <f t="shared" si="0"/>
        <v>2790000</v>
      </c>
      <c r="F14" s="30">
        <f t="shared" si="1"/>
        <v>279000</v>
      </c>
    </row>
    <row r="15" spans="1:6">
      <c r="A15" s="3" t="s">
        <v>122</v>
      </c>
      <c r="B15" s="3" t="s">
        <v>123</v>
      </c>
      <c r="C15" s="24">
        <v>100</v>
      </c>
      <c r="D15" s="29">
        <v>155000</v>
      </c>
      <c r="E15" s="29">
        <f t="shared" si="0"/>
        <v>15500000</v>
      </c>
      <c r="F15" s="30">
        <f t="shared" si="1"/>
        <v>1550000</v>
      </c>
    </row>
    <row r="16" spans="1:6">
      <c r="A16" s="3" t="s">
        <v>124</v>
      </c>
      <c r="B16" s="3" t="s">
        <v>123</v>
      </c>
      <c r="C16" s="24">
        <v>13</v>
      </c>
      <c r="D16" s="29">
        <v>155000</v>
      </c>
      <c r="E16" s="29">
        <f t="shared" si="0"/>
        <v>2015000</v>
      </c>
      <c r="F16" s="30">
        <f t="shared" si="1"/>
        <v>201500</v>
      </c>
    </row>
    <row r="17" spans="1:6">
      <c r="A17" s="3" t="s">
        <v>121</v>
      </c>
      <c r="B17" s="3" t="s">
        <v>131</v>
      </c>
      <c r="C17" s="24">
        <v>23</v>
      </c>
      <c r="D17" s="29">
        <v>155000</v>
      </c>
      <c r="E17" s="29">
        <f t="shared" si="0"/>
        <v>3565000</v>
      </c>
      <c r="F17" s="30">
        <f t="shared" si="1"/>
        <v>356500</v>
      </c>
    </row>
    <row r="20" spans="1:6">
      <c r="A20" s="46" t="s">
        <v>11</v>
      </c>
      <c r="B20" s="47" t="s">
        <v>255</v>
      </c>
    </row>
    <row r="22" spans="1:6" ht="14.25">
      <c r="A22" s="48" t="s">
        <v>256</v>
      </c>
      <c r="B22" s="51" t="s">
        <v>253</v>
      </c>
      <c r="C22" s="52" t="s">
        <v>254</v>
      </c>
    </row>
    <row r="23" spans="1:6">
      <c r="A23" s="49" t="s">
        <v>247</v>
      </c>
      <c r="B23" s="53">
        <v>17360000</v>
      </c>
      <c r="C23" s="54">
        <v>1736000</v>
      </c>
    </row>
    <row r="24" spans="1:6">
      <c r="A24" s="49" t="s">
        <v>248</v>
      </c>
      <c r="B24" s="53">
        <v>2790000</v>
      </c>
      <c r="C24" s="54">
        <v>279000</v>
      </c>
    </row>
    <row r="25" spans="1:6">
      <c r="A25" s="49" t="s">
        <v>249</v>
      </c>
      <c r="B25" s="53">
        <v>15500000</v>
      </c>
      <c r="C25" s="54">
        <v>1550000</v>
      </c>
    </row>
    <row r="26" spans="1:6">
      <c r="A26" s="49" t="s">
        <v>250</v>
      </c>
      <c r="B26" s="53">
        <v>2015000</v>
      </c>
      <c r="C26" s="54">
        <v>201500</v>
      </c>
    </row>
    <row r="27" spans="1:6">
      <c r="A27" s="49" t="s">
        <v>251</v>
      </c>
      <c r="B27" s="53">
        <v>3565000</v>
      </c>
      <c r="C27" s="54">
        <v>356500</v>
      </c>
    </row>
    <row r="28" spans="1:6" ht="15" thickBot="1">
      <c r="A28" s="50" t="s">
        <v>252</v>
      </c>
      <c r="B28" s="55">
        <v>8246000</v>
      </c>
      <c r="C28" s="56">
        <v>824600</v>
      </c>
    </row>
    <row r="29" spans="1:6" ht="14.25" thickTop="1"/>
  </sheetData>
  <mergeCells count="1">
    <mergeCell ref="A1:F1"/>
  </mergeCells>
  <phoneticPr fontId="2" type="noConversion"/>
  <printOptions headings="1" gridLines="1"/>
  <pageMargins left="0.75" right="0.75" top="1" bottom="1" header="0.5" footer="0.5"/>
  <pageSetup paperSize="9" orientation="landscape" r:id="rId2"/>
  <headerFooter alignWithMargins="0">
    <oddFooter>&amp;C&amp;F&amp;A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F14"/>
  <sheetViews>
    <sheetView workbookViewId="0">
      <selection sqref="A1:F1"/>
    </sheetView>
  </sheetViews>
  <sheetFormatPr defaultRowHeight="13.5"/>
  <cols>
    <col min="4" max="4" width="11.5546875" bestFit="1" customWidth="1"/>
    <col min="6" max="6" width="12.6640625" bestFit="1" customWidth="1"/>
  </cols>
  <sheetData>
    <row r="1" spans="1:6">
      <c r="A1" s="67" t="s">
        <v>133</v>
      </c>
      <c r="B1" s="67"/>
      <c r="C1" s="67"/>
      <c r="D1" s="67"/>
      <c r="E1" s="67"/>
      <c r="F1" s="67"/>
    </row>
    <row r="3" spans="1:6">
      <c r="A3" s="3" t="s">
        <v>134</v>
      </c>
      <c r="B3" s="38" t="s">
        <v>135</v>
      </c>
      <c r="C3" s="38" t="s">
        <v>136</v>
      </c>
      <c r="D3" s="38" t="s">
        <v>137</v>
      </c>
      <c r="E3" s="38" t="s">
        <v>138</v>
      </c>
      <c r="F3" s="38" t="s">
        <v>139</v>
      </c>
    </row>
    <row r="4" spans="1:6">
      <c r="A4" s="3" t="s">
        <v>140</v>
      </c>
      <c r="B4" s="3" t="s">
        <v>141</v>
      </c>
      <c r="C4" s="3" t="s">
        <v>142</v>
      </c>
      <c r="D4" s="39">
        <v>45000</v>
      </c>
      <c r="E4" s="39">
        <v>50</v>
      </c>
      <c r="F4" s="40">
        <f>D4*E4</f>
        <v>2250000</v>
      </c>
    </row>
    <row r="5" spans="1:6">
      <c r="A5" s="3" t="s">
        <v>143</v>
      </c>
      <c r="B5" s="3" t="s">
        <v>144</v>
      </c>
      <c r="C5" s="3" t="s">
        <v>158</v>
      </c>
      <c r="D5" s="39">
        <v>150000</v>
      </c>
      <c r="E5" s="39">
        <v>10</v>
      </c>
      <c r="F5" s="40">
        <f t="shared" ref="F5:F14" si="0">D5*E5</f>
        <v>1500000</v>
      </c>
    </row>
    <row r="6" spans="1:6">
      <c r="A6" s="3" t="s">
        <v>140</v>
      </c>
      <c r="B6" s="3" t="s">
        <v>145</v>
      </c>
      <c r="C6" s="3" t="s">
        <v>146</v>
      </c>
      <c r="D6" s="39">
        <v>65000</v>
      </c>
      <c r="E6" s="39">
        <v>120</v>
      </c>
      <c r="F6" s="40">
        <f t="shared" si="0"/>
        <v>7800000</v>
      </c>
    </row>
    <row r="7" spans="1:6">
      <c r="A7" s="3" t="s">
        <v>143</v>
      </c>
      <c r="B7" s="3" t="s">
        <v>147</v>
      </c>
      <c r="C7" s="3" t="s">
        <v>163</v>
      </c>
      <c r="D7" s="39">
        <v>260000</v>
      </c>
      <c r="E7" s="39">
        <v>27</v>
      </c>
      <c r="F7" s="40">
        <f t="shared" si="0"/>
        <v>7020000</v>
      </c>
    </row>
    <row r="8" spans="1:6">
      <c r="A8" s="3" t="s">
        <v>148</v>
      </c>
      <c r="B8" s="3" t="s">
        <v>149</v>
      </c>
      <c r="C8" s="3" t="s">
        <v>150</v>
      </c>
      <c r="D8" s="39">
        <v>2500000</v>
      </c>
      <c r="E8" s="39">
        <v>5</v>
      </c>
      <c r="F8" s="40">
        <f t="shared" si="0"/>
        <v>12500000</v>
      </c>
    </row>
    <row r="9" spans="1:6">
      <c r="A9" s="3" t="s">
        <v>148</v>
      </c>
      <c r="B9" s="3" t="s">
        <v>151</v>
      </c>
      <c r="C9" s="3" t="s">
        <v>152</v>
      </c>
      <c r="D9" s="39">
        <v>580000</v>
      </c>
      <c r="E9" s="39">
        <v>13</v>
      </c>
      <c r="F9" s="40">
        <f t="shared" si="0"/>
        <v>7540000</v>
      </c>
    </row>
    <row r="10" spans="1:6">
      <c r="A10" s="3" t="s">
        <v>140</v>
      </c>
      <c r="B10" s="3" t="s">
        <v>153</v>
      </c>
      <c r="C10" s="3" t="s">
        <v>159</v>
      </c>
      <c r="D10" s="39">
        <v>42000</v>
      </c>
      <c r="E10" s="39">
        <v>166.66666666666666</v>
      </c>
      <c r="F10" s="40">
        <f t="shared" si="0"/>
        <v>7000000</v>
      </c>
    </row>
    <row r="11" spans="1:6">
      <c r="A11" s="3" t="s">
        <v>148</v>
      </c>
      <c r="B11" s="3" t="s">
        <v>151</v>
      </c>
      <c r="C11" s="3" t="s">
        <v>160</v>
      </c>
      <c r="D11" s="39">
        <v>1250000</v>
      </c>
      <c r="E11" s="39">
        <v>6</v>
      </c>
      <c r="F11" s="40">
        <f t="shared" si="0"/>
        <v>7500000</v>
      </c>
    </row>
    <row r="12" spans="1:6">
      <c r="A12" s="18" t="s">
        <v>148</v>
      </c>
      <c r="B12" s="18" t="s">
        <v>154</v>
      </c>
      <c r="C12" s="18" t="s">
        <v>162</v>
      </c>
      <c r="D12" s="41">
        <v>3250000</v>
      </c>
      <c r="E12" s="41">
        <v>4</v>
      </c>
      <c r="F12" s="40">
        <f t="shared" si="0"/>
        <v>13000000</v>
      </c>
    </row>
    <row r="13" spans="1:6">
      <c r="A13" s="18" t="s">
        <v>140</v>
      </c>
      <c r="B13" s="18" t="s">
        <v>155</v>
      </c>
      <c r="C13" s="18" t="s">
        <v>161</v>
      </c>
      <c r="D13" s="41">
        <v>62000</v>
      </c>
      <c r="E13" s="41">
        <v>70</v>
      </c>
      <c r="F13" s="40">
        <f t="shared" si="0"/>
        <v>4340000</v>
      </c>
    </row>
    <row r="14" spans="1:6">
      <c r="A14" s="18" t="s">
        <v>143</v>
      </c>
      <c r="B14" s="18" t="s">
        <v>156</v>
      </c>
      <c r="C14" s="18" t="s">
        <v>157</v>
      </c>
      <c r="D14" s="41">
        <v>250000</v>
      </c>
      <c r="E14" s="41">
        <v>25</v>
      </c>
      <c r="F14" s="40">
        <f t="shared" si="0"/>
        <v>6250000</v>
      </c>
    </row>
  </sheetData>
  <dataConsolidate/>
  <mergeCells count="1">
    <mergeCell ref="A1:F1"/>
  </mergeCells>
  <phoneticPr fontId="2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F9"/>
  <sheetViews>
    <sheetView workbookViewId="0"/>
  </sheetViews>
  <sheetFormatPr defaultRowHeight="13.5"/>
  <cols>
    <col min="1" max="1" width="9.109375" customWidth="1"/>
    <col min="2" max="2" width="7.77734375" customWidth="1"/>
    <col min="3" max="3" width="9.88671875" bestFit="1" customWidth="1"/>
    <col min="4" max="4" width="7.44140625" customWidth="1"/>
    <col min="5" max="5" width="10.109375" customWidth="1"/>
    <col min="6" max="6" width="11.21875" customWidth="1"/>
  </cols>
  <sheetData>
    <row r="1" spans="1:6">
      <c r="A1" s="8" t="s">
        <v>46</v>
      </c>
      <c r="B1" s="8"/>
      <c r="C1" s="8"/>
      <c r="D1" s="8"/>
      <c r="E1" s="8"/>
    </row>
    <row r="2" spans="1:6">
      <c r="A2" s="13" t="s">
        <v>16</v>
      </c>
      <c r="B2" s="13" t="s">
        <v>36</v>
      </c>
      <c r="C2" s="13" t="s">
        <v>17</v>
      </c>
      <c r="D2" s="13" t="s">
        <v>18</v>
      </c>
      <c r="E2" s="13" t="s">
        <v>19</v>
      </c>
      <c r="F2" s="3" t="s">
        <v>20</v>
      </c>
    </row>
    <row r="3" spans="1:6">
      <c r="A3" s="13">
        <v>2003206</v>
      </c>
      <c r="B3" s="13" t="s">
        <v>208</v>
      </c>
      <c r="C3" s="13">
        <v>100</v>
      </c>
      <c r="D3" s="13">
        <v>92</v>
      </c>
      <c r="E3" s="26">
        <v>96</v>
      </c>
      <c r="F3" s="3" t="s">
        <v>200</v>
      </c>
    </row>
    <row r="4" spans="1:6">
      <c r="A4" s="13">
        <v>2003201</v>
      </c>
      <c r="B4" s="42" t="s">
        <v>199</v>
      </c>
      <c r="C4" s="13">
        <v>88</v>
      </c>
      <c r="D4" s="13">
        <v>100</v>
      </c>
      <c r="E4" s="26">
        <v>94</v>
      </c>
      <c r="F4" s="3" t="s">
        <v>200</v>
      </c>
    </row>
    <row r="5" spans="1:6">
      <c r="A5" s="13">
        <v>2003203</v>
      </c>
      <c r="B5" s="26" t="s">
        <v>203</v>
      </c>
      <c r="C5" s="13">
        <v>90</v>
      </c>
      <c r="D5" s="13">
        <v>90</v>
      </c>
      <c r="E5" s="26">
        <v>90</v>
      </c>
      <c r="F5" s="3" t="s">
        <v>200</v>
      </c>
    </row>
    <row r="6" spans="1:6">
      <c r="A6" s="13">
        <v>2003204</v>
      </c>
      <c r="B6" s="26" t="s">
        <v>204</v>
      </c>
      <c r="C6" s="13">
        <v>78</v>
      </c>
      <c r="D6" s="13">
        <v>94</v>
      </c>
      <c r="E6" s="26">
        <v>86</v>
      </c>
      <c r="F6" s="3" t="s">
        <v>205</v>
      </c>
    </row>
    <row r="7" spans="1:6">
      <c r="A7" s="13">
        <v>2003205</v>
      </c>
      <c r="B7" s="13" t="s">
        <v>206</v>
      </c>
      <c r="C7" s="13">
        <v>55</v>
      </c>
      <c r="D7" s="13">
        <v>87</v>
      </c>
      <c r="E7" s="26">
        <v>71</v>
      </c>
      <c r="F7" s="3" t="s">
        <v>207</v>
      </c>
    </row>
    <row r="8" spans="1:6">
      <c r="A8" s="13">
        <v>2003202</v>
      </c>
      <c r="B8" s="26" t="s">
        <v>201</v>
      </c>
      <c r="C8" s="13">
        <v>78</v>
      </c>
      <c r="D8" s="13">
        <v>45</v>
      </c>
      <c r="E8" s="26">
        <v>61.5</v>
      </c>
      <c r="F8" s="3" t="s">
        <v>202</v>
      </c>
    </row>
    <row r="9" spans="1:6">
      <c r="A9" s="68" t="s">
        <v>177</v>
      </c>
      <c r="B9" s="69"/>
      <c r="C9" s="27">
        <f>AVERAGE(C3:C8)</f>
        <v>81.5</v>
      </c>
      <c r="D9" s="27">
        <f t="shared" ref="D9:E9" si="0">AVERAGE(D3:D8)</f>
        <v>84.666666666666671</v>
      </c>
      <c r="E9" s="27">
        <f t="shared" si="0"/>
        <v>83.083333333333329</v>
      </c>
      <c r="F9" s="28"/>
    </row>
  </sheetData>
  <sortState ref="A3:F8">
    <sortCondition descending="1" ref="E3:E8"/>
  </sortState>
  <mergeCells count="1">
    <mergeCell ref="A9:B9"/>
  </mergeCells>
  <phoneticPr fontId="2" type="noConversion"/>
  <printOptions headings="1" gridLines="1"/>
  <pageMargins left="0.75" right="0.75" top="1" bottom="1" header="0.5" footer="0.5"/>
  <pageSetup paperSize="9" orientation="landscape" horizontalDpi="300" verticalDpi="300" r:id="rId1"/>
  <headerFooter alignWithMargins="0">
    <oddFooter>&amp;C&amp;F&amp;A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E10"/>
  <sheetViews>
    <sheetView workbookViewId="0"/>
  </sheetViews>
  <sheetFormatPr defaultRowHeight="13.5"/>
  <cols>
    <col min="1" max="1" width="9.109375" customWidth="1"/>
    <col min="2" max="2" width="7.77734375" customWidth="1"/>
    <col min="3" max="3" width="9.88671875" bestFit="1" customWidth="1"/>
    <col min="4" max="4" width="7.44140625" customWidth="1"/>
    <col min="5" max="5" width="10.109375" customWidth="1"/>
    <col min="6" max="6" width="11.21875" customWidth="1"/>
  </cols>
  <sheetData>
    <row r="1" spans="1:5">
      <c r="A1" t="s">
        <v>164</v>
      </c>
    </row>
    <row r="2" spans="1:5">
      <c r="E2" t="s">
        <v>165</v>
      </c>
    </row>
    <row r="3" spans="1:5">
      <c r="A3" s="3" t="s">
        <v>166</v>
      </c>
      <c r="B3" s="3" t="s">
        <v>167</v>
      </c>
      <c r="C3" s="3" t="s">
        <v>168</v>
      </c>
      <c r="D3" s="3" t="s">
        <v>169</v>
      </c>
      <c r="E3" s="3" t="s">
        <v>21</v>
      </c>
    </row>
    <row r="4" spans="1:5">
      <c r="A4" s="3" t="s">
        <v>170</v>
      </c>
      <c r="B4" s="3">
        <v>88</v>
      </c>
      <c r="C4" s="4">
        <v>985600</v>
      </c>
      <c r="D4" s="3">
        <v>83</v>
      </c>
      <c r="E4" s="4">
        <v>929600</v>
      </c>
    </row>
    <row r="5" spans="1:5">
      <c r="A5" s="3" t="s">
        <v>171</v>
      </c>
      <c r="B5" s="3">
        <v>77</v>
      </c>
      <c r="C5" s="4">
        <v>862400</v>
      </c>
      <c r="D5" s="3">
        <v>68</v>
      </c>
      <c r="E5" s="4">
        <v>761600</v>
      </c>
    </row>
    <row r="6" spans="1:5">
      <c r="A6" s="3" t="s">
        <v>172</v>
      </c>
      <c r="B6" s="3">
        <v>57</v>
      </c>
      <c r="C6" s="4">
        <v>638400</v>
      </c>
      <c r="D6" s="3">
        <v>56</v>
      </c>
      <c r="E6" s="4">
        <v>627200</v>
      </c>
    </row>
    <row r="7" spans="1:5">
      <c r="A7" s="3" t="s">
        <v>173</v>
      </c>
      <c r="B7" s="3">
        <v>29</v>
      </c>
      <c r="C7" s="4">
        <v>324800</v>
      </c>
      <c r="D7" s="3">
        <v>23</v>
      </c>
      <c r="E7" s="4">
        <v>257600</v>
      </c>
    </row>
    <row r="8" spans="1:5">
      <c r="A8" s="3" t="s">
        <v>174</v>
      </c>
      <c r="B8" s="3">
        <v>74</v>
      </c>
      <c r="C8" s="4">
        <v>828800</v>
      </c>
      <c r="D8" s="3">
        <v>60</v>
      </c>
      <c r="E8" s="4">
        <v>672000</v>
      </c>
    </row>
    <row r="9" spans="1:5">
      <c r="A9" s="18" t="s">
        <v>175</v>
      </c>
      <c r="B9" s="3">
        <v>67</v>
      </c>
      <c r="C9" s="4">
        <v>750400</v>
      </c>
      <c r="D9" s="3">
        <v>50</v>
      </c>
      <c r="E9" s="4">
        <v>560000</v>
      </c>
    </row>
    <row r="10" spans="1:5">
      <c r="A10" s="18" t="s">
        <v>176</v>
      </c>
      <c r="B10" s="3">
        <v>86</v>
      </c>
      <c r="C10" s="4">
        <v>963200</v>
      </c>
      <c r="D10" s="3">
        <v>85</v>
      </c>
      <c r="E10" s="4">
        <v>952000</v>
      </c>
    </row>
  </sheetData>
  <phoneticPr fontId="2" type="noConversion"/>
  <printOptions headings="1" gridLines="1"/>
  <pageMargins left="0.75" right="0.75" top="1" bottom="1" header="0.5" footer="0.5"/>
  <pageSetup paperSize="9" orientation="landscape" horizontalDpi="300" verticalDpi="300" r:id="rId1"/>
  <headerFooter alignWithMargins="0">
    <oddFooter>&amp;C&amp;F&amp;A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김용갑</cp:lastModifiedBy>
  <dcterms:created xsi:type="dcterms:W3CDTF">2004-05-11T08:11:07Z</dcterms:created>
  <dcterms:modified xsi:type="dcterms:W3CDTF">2010-10-04T02:54:23Z</dcterms:modified>
</cp:coreProperties>
</file>