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0" yWindow="0" windowWidth="16170" windowHeight="6075"/>
  </bookViews>
  <sheets>
    <sheet name="무작정따라하기" sheetId="4" r:id="rId1"/>
  </sheets>
  <calcPr calcId="144525"/>
</workbook>
</file>

<file path=xl/calcChain.xml><?xml version="1.0" encoding="utf-8"?>
<calcChain xmlns="http://schemas.openxmlformats.org/spreadsheetml/2006/main">
  <c r="K4" i="4" l="1"/>
  <c r="K5" i="4"/>
  <c r="K6" i="4"/>
  <c r="K7" i="4"/>
  <c r="K8" i="4"/>
  <c r="K9" i="4"/>
  <c r="K3" i="4"/>
  <c r="E4" i="4" l="1"/>
  <c r="E5" i="4"/>
  <c r="E6" i="4"/>
  <c r="E7" i="4"/>
  <c r="E8" i="4"/>
  <c r="E9" i="4"/>
  <c r="E10" i="4"/>
  <c r="E3" i="4"/>
  <c r="D20" i="4" l="1"/>
  <c r="D19" i="4"/>
  <c r="D18" i="4"/>
  <c r="D17" i="4"/>
  <c r="D16" i="4"/>
  <c r="D15" i="4"/>
  <c r="D14" i="4"/>
</calcChain>
</file>

<file path=xl/sharedStrings.xml><?xml version="1.0" encoding="utf-8"?>
<sst xmlns="http://schemas.openxmlformats.org/spreadsheetml/2006/main" count="104" uniqueCount="93">
  <si>
    <t>[표1] 중고자동차 목록</t>
    <phoneticPr fontId="3" type="noConversion"/>
  </si>
  <si>
    <t>[표2] 농구선수명단</t>
    <phoneticPr fontId="3" type="noConversion"/>
  </si>
  <si>
    <t>모델</t>
    <phoneticPr fontId="3" type="noConversion"/>
  </si>
  <si>
    <t>연식</t>
    <phoneticPr fontId="3" type="noConversion"/>
  </si>
  <si>
    <t>주행거리</t>
    <phoneticPr fontId="3" type="noConversion"/>
  </si>
  <si>
    <t>정비</t>
    <phoneticPr fontId="3" type="noConversion"/>
  </si>
  <si>
    <t>등급</t>
    <phoneticPr fontId="3" type="noConversion"/>
  </si>
  <si>
    <t>팀명</t>
    <phoneticPr fontId="3" type="noConversion"/>
  </si>
  <si>
    <t>선수명</t>
    <phoneticPr fontId="3" type="noConversion"/>
  </si>
  <si>
    <t>관리코드</t>
    <phoneticPr fontId="3" type="noConversion"/>
  </si>
  <si>
    <t>경력</t>
    <phoneticPr fontId="3" type="noConversion"/>
  </si>
  <si>
    <t>포지션</t>
    <phoneticPr fontId="3" type="noConversion"/>
  </si>
  <si>
    <t>오3245</t>
    <phoneticPr fontId="3" type="noConversion"/>
  </si>
  <si>
    <t>1994년 9월</t>
    <phoneticPr fontId="3" type="noConversion"/>
  </si>
  <si>
    <t>KCC</t>
    <phoneticPr fontId="3" type="noConversion"/>
  </si>
  <si>
    <t>안전해</t>
    <phoneticPr fontId="3" type="noConversion"/>
  </si>
  <si>
    <t>K99111</t>
    <phoneticPr fontId="3" type="noConversion"/>
  </si>
  <si>
    <t>3년</t>
    <phoneticPr fontId="3" type="noConversion"/>
  </si>
  <si>
    <t>투5643</t>
    <phoneticPr fontId="3" type="noConversion"/>
  </si>
  <si>
    <t>2000년 3월</t>
    <phoneticPr fontId="3" type="noConversion"/>
  </si>
  <si>
    <t>보증</t>
    <phoneticPr fontId="3" type="noConversion"/>
  </si>
  <si>
    <t>TG</t>
    <phoneticPr fontId="3" type="noConversion"/>
  </si>
  <si>
    <t>이기자</t>
    <phoneticPr fontId="3" type="noConversion"/>
  </si>
  <si>
    <t>T02322</t>
    <phoneticPr fontId="3" type="noConversion"/>
  </si>
  <si>
    <t>1년</t>
    <phoneticPr fontId="3" type="noConversion"/>
  </si>
  <si>
    <t>기6754</t>
    <phoneticPr fontId="3" type="noConversion"/>
  </si>
  <si>
    <t>1999년 11월</t>
    <phoneticPr fontId="3" type="noConversion"/>
  </si>
  <si>
    <t>SBS</t>
    <phoneticPr fontId="3" type="noConversion"/>
  </si>
  <si>
    <t>왕눈이</t>
    <phoneticPr fontId="3" type="noConversion"/>
  </si>
  <si>
    <t>S97101</t>
    <phoneticPr fontId="3" type="noConversion"/>
  </si>
  <si>
    <t>5년</t>
    <phoneticPr fontId="3" type="noConversion"/>
  </si>
  <si>
    <t>그3425</t>
    <phoneticPr fontId="3" type="noConversion"/>
  </si>
  <si>
    <t>2001년 10월</t>
    <phoneticPr fontId="3" type="noConversion"/>
  </si>
  <si>
    <t>LG</t>
    <phoneticPr fontId="3" type="noConversion"/>
  </si>
  <si>
    <t>오골인</t>
    <phoneticPr fontId="3" type="noConversion"/>
  </si>
  <si>
    <t>L94303</t>
    <phoneticPr fontId="3" type="noConversion"/>
  </si>
  <si>
    <t>8년</t>
    <phoneticPr fontId="3" type="noConversion"/>
  </si>
  <si>
    <t>에8907</t>
    <phoneticPr fontId="3" type="noConversion"/>
  </si>
  <si>
    <t>1998년 12월</t>
    <phoneticPr fontId="3" type="noConversion"/>
  </si>
  <si>
    <t>보증</t>
  </si>
  <si>
    <t>최고인</t>
    <phoneticPr fontId="3" type="noConversion"/>
  </si>
  <si>
    <t>L01202</t>
    <phoneticPr fontId="3" type="noConversion"/>
  </si>
  <si>
    <t>2년</t>
    <phoneticPr fontId="3" type="noConversion"/>
  </si>
  <si>
    <t>그5813</t>
  </si>
  <si>
    <t>최수비</t>
    <phoneticPr fontId="3" type="noConversion"/>
  </si>
  <si>
    <t>T89322</t>
    <phoneticPr fontId="3" type="noConversion"/>
  </si>
  <si>
    <t>13년</t>
    <phoneticPr fontId="3" type="noConversion"/>
  </si>
  <si>
    <t>카4532</t>
    <phoneticPr fontId="3" type="noConversion"/>
  </si>
  <si>
    <t>2002년 3월</t>
    <phoneticPr fontId="3" type="noConversion"/>
  </si>
  <si>
    <t>나도해</t>
    <phoneticPr fontId="3" type="noConversion"/>
  </si>
  <si>
    <t>K95213</t>
    <phoneticPr fontId="3" type="noConversion"/>
  </si>
  <si>
    <t>7년</t>
    <phoneticPr fontId="3" type="noConversion"/>
  </si>
  <si>
    <t>엑6754</t>
    <phoneticPr fontId="3" type="noConversion"/>
  </si>
  <si>
    <t>2003년 5월</t>
    <phoneticPr fontId="3" type="noConversion"/>
  </si>
  <si>
    <t>[표3] 1차 대회 성적</t>
    <phoneticPr fontId="3" type="noConversion"/>
  </si>
  <si>
    <t>[표4] 카트 경기 대회</t>
    <phoneticPr fontId="3" type="noConversion"/>
  </si>
  <si>
    <t>성명</t>
    <phoneticPr fontId="3" type="noConversion"/>
  </si>
  <si>
    <t>계획서</t>
    <phoneticPr fontId="3" type="noConversion"/>
  </si>
  <si>
    <t>작품성</t>
    <phoneticPr fontId="3" type="noConversion"/>
  </si>
  <si>
    <t>평점</t>
    <phoneticPr fontId="3" type="noConversion"/>
  </si>
  <si>
    <t>평가</t>
    <phoneticPr fontId="3" type="noConversion"/>
  </si>
  <si>
    <t>등번호</t>
    <phoneticPr fontId="3" type="noConversion"/>
  </si>
  <si>
    <t>참가자</t>
    <phoneticPr fontId="3" type="noConversion"/>
  </si>
  <si>
    <t>기록</t>
    <phoneticPr fontId="3" type="noConversion"/>
  </si>
  <si>
    <t>등수</t>
    <phoneticPr fontId="3" type="noConversion"/>
  </si>
  <si>
    <t>이구연</t>
    <phoneticPr fontId="3" type="noConversion"/>
  </si>
  <si>
    <t>타탕가</t>
    <phoneticPr fontId="3" type="noConversion"/>
  </si>
  <si>
    <t>나잘해</t>
    <phoneticPr fontId="3" type="noConversion"/>
  </si>
  <si>
    <t>최모스</t>
    <phoneticPr fontId="3" type="noConversion"/>
  </si>
  <si>
    <t>정민철</t>
    <phoneticPr fontId="3" type="noConversion"/>
  </si>
  <si>
    <t>이배찌</t>
    <phoneticPr fontId="3" type="noConversion"/>
  </si>
  <si>
    <t>최고다</t>
    <phoneticPr fontId="3" type="noConversion"/>
  </si>
  <si>
    <t>우디지니</t>
    <phoneticPr fontId="3" type="noConversion"/>
  </si>
  <si>
    <t>한가위</t>
    <phoneticPr fontId="3" type="noConversion"/>
  </si>
  <si>
    <t>성마리드</t>
    <phoneticPr fontId="3" type="noConversion"/>
  </si>
  <si>
    <t>김사라</t>
    <phoneticPr fontId="3" type="noConversion"/>
  </si>
  <si>
    <t>배바니</t>
    <phoneticPr fontId="3" type="noConversion"/>
  </si>
  <si>
    <t>박철우</t>
    <phoneticPr fontId="3" type="noConversion"/>
  </si>
  <si>
    <t>박우니</t>
    <phoneticPr fontId="3" type="noConversion"/>
  </si>
  <si>
    <t>김다오</t>
    <phoneticPr fontId="3" type="noConversion"/>
  </si>
  <si>
    <t>[표5] 비만도 측정</t>
    <phoneticPr fontId="3" type="noConversion"/>
  </si>
  <si>
    <t>성별</t>
    <phoneticPr fontId="3" type="noConversion"/>
  </si>
  <si>
    <t>신장</t>
    <phoneticPr fontId="3" type="noConversion"/>
  </si>
  <si>
    <t>체중</t>
    <phoneticPr fontId="3" type="noConversion"/>
  </si>
  <si>
    <t>판정</t>
    <phoneticPr fontId="3" type="noConversion"/>
  </si>
  <si>
    <t>한장석</t>
    <phoneticPr fontId="3" type="noConversion"/>
  </si>
  <si>
    <t>남</t>
    <phoneticPr fontId="3" type="noConversion"/>
  </si>
  <si>
    <t>오명희</t>
    <phoneticPr fontId="3" type="noConversion"/>
  </si>
  <si>
    <t>여</t>
    <phoneticPr fontId="3" type="noConversion"/>
  </si>
  <si>
    <t>최철주</t>
    <phoneticPr fontId="3" type="noConversion"/>
  </si>
  <si>
    <t>마준희</t>
    <phoneticPr fontId="3" type="noConversion"/>
  </si>
  <si>
    <t>권길수</t>
    <phoneticPr fontId="3" type="noConversion"/>
  </si>
  <si>
    <t>장도애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</si>
</sst>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4" fillId="0" borderId="0" xfId="1" applyFont="1"/>
    <xf numFmtId="0" fontId="4" fillId="0" borderId="0" xfId="1" applyFont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0" borderId="1" xfId="1" applyFont="1" applyBorder="1"/>
    <xf numFmtId="0" fontId="4" fillId="0" borderId="0" xfId="1" applyFont="1" applyFill="1" applyBorder="1" applyAlignment="1">
      <alignment horizontal="left" vertical="center"/>
    </xf>
    <xf numFmtId="17" fontId="4" fillId="0" borderId="1" xfId="1" applyNumberFormat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4" fillId="0" borderId="1" xfId="1" applyNumberFormat="1" applyFont="1" applyBorder="1" applyAlignment="1">
      <alignment horizontal="center"/>
    </xf>
    <xf numFmtId="0" fontId="4" fillId="0" borderId="1" xfId="1" applyFont="1" applyFill="1" applyBorder="1"/>
    <xf numFmtId="21" fontId="4" fillId="0" borderId="1" xfId="1" applyNumberFormat="1" applyFont="1" applyBorder="1"/>
    <xf numFmtId="0" fontId="4" fillId="0" borderId="1" xfId="1" applyFont="1" applyFill="1" applyBorder="1" applyAlignment="1">
      <alignment horizontal="center"/>
    </xf>
    <xf numFmtId="0" fontId="4" fillId="0" borderId="1" xfId="3" applyNumberFormat="1" applyFont="1" applyBorder="1" applyAlignment="1">
      <alignment horizontal="center"/>
    </xf>
  </cellXfs>
  <cellStyles count="4">
    <cellStyle name="백분율 2" xfId="3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9"/>
  <sheetViews>
    <sheetView tabSelected="1" workbookViewId="0">
      <selection activeCell="K3" sqref="K3"/>
    </sheetView>
  </sheetViews>
  <sheetFormatPr defaultRowHeight="16.5"/>
  <cols>
    <col min="1" max="1" width="9" style="1"/>
    <col min="2" max="2" width="13" style="1" bestFit="1" customWidth="1"/>
    <col min="3" max="3" width="12.625" style="1" bestFit="1" customWidth="1"/>
    <col min="4" max="5" width="9" style="1"/>
    <col min="6" max="6" width="3.375" style="1" customWidth="1"/>
    <col min="7" max="16384" width="9" style="1"/>
  </cols>
  <sheetData>
    <row r="1" spans="1:11">
      <c r="A1" s="6" t="s">
        <v>0</v>
      </c>
      <c r="G1" s="6" t="s">
        <v>1</v>
      </c>
      <c r="H1" s="6"/>
    </row>
    <row r="2" spans="1:11">
      <c r="A2" s="4" t="s">
        <v>2</v>
      </c>
      <c r="B2" s="4" t="s">
        <v>3</v>
      </c>
      <c r="C2" s="4" t="s">
        <v>4</v>
      </c>
      <c r="D2" s="4" t="s">
        <v>5</v>
      </c>
      <c r="E2" s="3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3" t="s">
        <v>11</v>
      </c>
    </row>
    <row r="3" spans="1:11">
      <c r="A3" s="4" t="s">
        <v>12</v>
      </c>
      <c r="B3" s="7" t="s">
        <v>13</v>
      </c>
      <c r="C3" s="8">
        <v>135000</v>
      </c>
      <c r="D3" s="4"/>
      <c r="E3" s="4" t="str">
        <f>IF(AND(C3&lt;60000, D3="보증"), "최상급", IF(AND(C3&lt;100000, D3="보증"), "상급", ""))</f>
        <v/>
      </c>
      <c r="G3" s="4" t="s">
        <v>14</v>
      </c>
      <c r="H3" s="4" t="s">
        <v>15</v>
      </c>
      <c r="I3" s="9" t="s">
        <v>16</v>
      </c>
      <c r="J3" s="9" t="s">
        <v>17</v>
      </c>
      <c r="K3" s="13" t="str">
        <f>IF(MID(I3,4,1)="1","센터",IF(MID(I3,4,1)="2","포드",IF(MID(I3,4,1)="3","가드")))</f>
        <v>센터</v>
      </c>
    </row>
    <row r="4" spans="1:11">
      <c r="A4" s="4" t="s">
        <v>18</v>
      </c>
      <c r="B4" s="4" t="s">
        <v>19</v>
      </c>
      <c r="C4" s="8">
        <v>66000</v>
      </c>
      <c r="D4" s="4" t="s">
        <v>20</v>
      </c>
      <c r="E4" s="4" t="str">
        <f t="shared" ref="E4:E10" si="0">IF(AND(C4&lt;60000, D4="보증"), "최상급", IF(AND(C4&lt;100000, D4="보증"), "상급", ""))</f>
        <v>상급</v>
      </c>
      <c r="G4" s="4" t="s">
        <v>21</v>
      </c>
      <c r="H4" s="4" t="s">
        <v>22</v>
      </c>
      <c r="I4" s="9" t="s">
        <v>23</v>
      </c>
      <c r="J4" s="9" t="s">
        <v>24</v>
      </c>
      <c r="K4" s="13" t="str">
        <f t="shared" ref="K4:K9" si="1">IF(MID(I4,4,1)="1","센터",IF(MID(I4,4,1)="2","포드",IF(MID(I4,4,1)="3","가드")))</f>
        <v>가드</v>
      </c>
    </row>
    <row r="5" spans="1:11">
      <c r="A5" s="4" t="s">
        <v>25</v>
      </c>
      <c r="B5" s="4" t="s">
        <v>26</v>
      </c>
      <c r="C5" s="8">
        <v>113000</v>
      </c>
      <c r="D5" s="4"/>
      <c r="E5" s="4" t="str">
        <f t="shared" si="0"/>
        <v/>
      </c>
      <c r="G5" s="4" t="s">
        <v>27</v>
      </c>
      <c r="H5" s="4" t="s">
        <v>28</v>
      </c>
      <c r="I5" s="9" t="s">
        <v>29</v>
      </c>
      <c r="J5" s="9" t="s">
        <v>30</v>
      </c>
      <c r="K5" s="13" t="str">
        <f t="shared" si="1"/>
        <v>센터</v>
      </c>
    </row>
    <row r="6" spans="1:11">
      <c r="A6" s="4" t="s">
        <v>31</v>
      </c>
      <c r="B6" s="4" t="s">
        <v>32</v>
      </c>
      <c r="C6" s="8">
        <v>54000</v>
      </c>
      <c r="D6" s="4"/>
      <c r="E6" s="4" t="str">
        <f t="shared" si="0"/>
        <v/>
      </c>
      <c r="G6" s="4" t="s">
        <v>33</v>
      </c>
      <c r="H6" s="4" t="s">
        <v>34</v>
      </c>
      <c r="I6" s="9" t="s">
        <v>35</v>
      </c>
      <c r="J6" s="9" t="s">
        <v>36</v>
      </c>
      <c r="K6" s="13" t="str">
        <f t="shared" si="1"/>
        <v>가드</v>
      </c>
    </row>
    <row r="7" spans="1:11">
      <c r="A7" s="4" t="s">
        <v>37</v>
      </c>
      <c r="B7" s="4" t="s">
        <v>38</v>
      </c>
      <c r="C7" s="8">
        <v>87000</v>
      </c>
      <c r="D7" s="4" t="s">
        <v>39</v>
      </c>
      <c r="E7" s="4" t="str">
        <f t="shared" si="0"/>
        <v>상급</v>
      </c>
      <c r="G7" s="4" t="s">
        <v>33</v>
      </c>
      <c r="H7" s="4" t="s">
        <v>40</v>
      </c>
      <c r="I7" s="9" t="s">
        <v>41</v>
      </c>
      <c r="J7" s="9" t="s">
        <v>42</v>
      </c>
      <c r="K7" s="13" t="str">
        <f t="shared" si="1"/>
        <v>포드</v>
      </c>
    </row>
    <row r="8" spans="1:11">
      <c r="A8" s="4" t="s">
        <v>43</v>
      </c>
      <c r="B8" s="4" t="s">
        <v>32</v>
      </c>
      <c r="C8" s="8">
        <v>64000</v>
      </c>
      <c r="D8" s="4"/>
      <c r="E8" s="4" t="str">
        <f t="shared" si="0"/>
        <v/>
      </c>
      <c r="G8" s="4" t="s">
        <v>21</v>
      </c>
      <c r="H8" s="4" t="s">
        <v>44</v>
      </c>
      <c r="I8" s="9" t="s">
        <v>45</v>
      </c>
      <c r="J8" s="9" t="s">
        <v>46</v>
      </c>
      <c r="K8" s="13" t="str">
        <f t="shared" si="1"/>
        <v>가드</v>
      </c>
    </row>
    <row r="9" spans="1:11">
      <c r="A9" s="4" t="s">
        <v>47</v>
      </c>
      <c r="B9" s="4" t="s">
        <v>48</v>
      </c>
      <c r="C9" s="8">
        <v>86000</v>
      </c>
      <c r="D9" s="4" t="s">
        <v>20</v>
      </c>
      <c r="E9" s="4" t="str">
        <f t="shared" si="0"/>
        <v>상급</v>
      </c>
      <c r="G9" s="4" t="s">
        <v>14</v>
      </c>
      <c r="H9" s="4" t="s">
        <v>49</v>
      </c>
      <c r="I9" s="9" t="s">
        <v>50</v>
      </c>
      <c r="J9" s="9" t="s">
        <v>51</v>
      </c>
      <c r="K9" s="13" t="str">
        <f t="shared" si="1"/>
        <v>포드</v>
      </c>
    </row>
    <row r="10" spans="1:11">
      <c r="A10" s="4" t="s">
        <v>52</v>
      </c>
      <c r="B10" s="4" t="s">
        <v>53</v>
      </c>
      <c r="C10" s="8">
        <v>32000</v>
      </c>
      <c r="D10" s="4" t="s">
        <v>20</v>
      </c>
      <c r="E10" s="4" t="str">
        <f t="shared" si="0"/>
        <v>최상급</v>
      </c>
    </row>
    <row r="12" spans="1:11">
      <c r="A12" s="1" t="s">
        <v>54</v>
      </c>
      <c r="G12" s="1" t="s">
        <v>55</v>
      </c>
    </row>
    <row r="13" spans="1:11">
      <c r="A13" s="4" t="s">
        <v>56</v>
      </c>
      <c r="B13" s="4" t="s">
        <v>57</v>
      </c>
      <c r="C13" s="4" t="s">
        <v>58</v>
      </c>
      <c r="D13" s="4" t="s">
        <v>59</v>
      </c>
      <c r="E13" s="3" t="s">
        <v>60</v>
      </c>
      <c r="G13" s="4" t="s">
        <v>61</v>
      </c>
      <c r="H13" s="4" t="s">
        <v>62</v>
      </c>
      <c r="I13" s="4" t="s">
        <v>63</v>
      </c>
      <c r="J13" s="3" t="s">
        <v>64</v>
      </c>
      <c r="K13" s="2"/>
    </row>
    <row r="14" spans="1:11">
      <c r="A14" s="4" t="s">
        <v>65</v>
      </c>
      <c r="B14" s="4">
        <v>90</v>
      </c>
      <c r="C14" s="4">
        <v>78</v>
      </c>
      <c r="D14" s="4">
        <f>AVERAGE(B14:C14)</f>
        <v>84</v>
      </c>
      <c r="E14" s="4"/>
      <c r="G14" s="4">
        <v>1</v>
      </c>
      <c r="H14" s="10" t="s">
        <v>66</v>
      </c>
      <c r="I14" s="11">
        <v>8.3865740740740699E-2</v>
      </c>
      <c r="J14" s="4"/>
    </row>
    <row r="15" spans="1:11">
      <c r="A15" s="4" t="s">
        <v>67</v>
      </c>
      <c r="B15" s="4">
        <v>78</v>
      </c>
      <c r="C15" s="4">
        <v>80</v>
      </c>
      <c r="D15" s="4">
        <f t="shared" ref="D15:D20" si="2">AVERAGE(B15:C15)</f>
        <v>79</v>
      </c>
      <c r="E15" s="4"/>
      <c r="G15" s="4">
        <v>2</v>
      </c>
      <c r="H15" s="5" t="s">
        <v>68</v>
      </c>
      <c r="I15" s="11">
        <v>8.2523148148148151E-2</v>
      </c>
      <c r="J15" s="4"/>
    </row>
    <row r="16" spans="1:11">
      <c r="A16" s="4" t="s">
        <v>69</v>
      </c>
      <c r="B16" s="4">
        <v>92</v>
      </c>
      <c r="C16" s="4">
        <v>70</v>
      </c>
      <c r="D16" s="4">
        <f t="shared" si="2"/>
        <v>81</v>
      </c>
      <c r="E16" s="4"/>
      <c r="G16" s="4">
        <v>3</v>
      </c>
      <c r="H16" s="5" t="s">
        <v>70</v>
      </c>
      <c r="I16" s="11">
        <v>8.1273148148148136E-2</v>
      </c>
      <c r="J16" s="4"/>
    </row>
    <row r="17" spans="1:10">
      <c r="A17" s="4" t="s">
        <v>71</v>
      </c>
      <c r="B17" s="4">
        <v>45</v>
      </c>
      <c r="C17" s="4">
        <v>34</v>
      </c>
      <c r="D17" s="4">
        <f t="shared" si="2"/>
        <v>39.5</v>
      </c>
      <c r="E17" s="4"/>
      <c r="G17" s="4">
        <v>4</v>
      </c>
      <c r="H17" s="5" t="s">
        <v>72</v>
      </c>
      <c r="I17" s="11">
        <v>8.3194444444444404E-2</v>
      </c>
      <c r="J17" s="4"/>
    </row>
    <row r="18" spans="1:10">
      <c r="A18" s="4" t="s">
        <v>73</v>
      </c>
      <c r="B18" s="4">
        <v>56</v>
      </c>
      <c r="C18" s="4">
        <v>45</v>
      </c>
      <c r="D18" s="4">
        <f t="shared" si="2"/>
        <v>50.5</v>
      </c>
      <c r="E18" s="4"/>
      <c r="G18" s="4">
        <v>5</v>
      </c>
      <c r="H18" s="5" t="s">
        <v>74</v>
      </c>
      <c r="I18" s="11">
        <v>8.2233796296296291E-2</v>
      </c>
      <c r="J18" s="4"/>
    </row>
    <row r="19" spans="1:10">
      <c r="A19" s="4" t="s">
        <v>75</v>
      </c>
      <c r="B19" s="4">
        <v>77</v>
      </c>
      <c r="C19" s="4">
        <v>78</v>
      </c>
      <c r="D19" s="4">
        <f t="shared" si="2"/>
        <v>77.5</v>
      </c>
      <c r="E19" s="4"/>
      <c r="G19" s="4">
        <v>6</v>
      </c>
      <c r="H19" s="5" t="s">
        <v>76</v>
      </c>
      <c r="I19" s="11">
        <v>8.3101851851851802E-2</v>
      </c>
      <c r="J19" s="4"/>
    </row>
    <row r="20" spans="1:10">
      <c r="A20" s="4" t="s">
        <v>77</v>
      </c>
      <c r="B20" s="4">
        <v>89</v>
      </c>
      <c r="C20" s="4">
        <v>66</v>
      </c>
      <c r="D20" s="4">
        <f t="shared" si="2"/>
        <v>77.5</v>
      </c>
      <c r="E20" s="4"/>
      <c r="G20" s="4">
        <v>7</v>
      </c>
      <c r="H20" s="5" t="s">
        <v>78</v>
      </c>
      <c r="I20" s="11">
        <v>8.2812499999999997E-2</v>
      </c>
      <c r="J20" s="4"/>
    </row>
    <row r="21" spans="1:10">
      <c r="G21" s="4">
        <v>8</v>
      </c>
      <c r="H21" s="5" t="s">
        <v>79</v>
      </c>
      <c r="I21" s="11">
        <v>8.1250000000000003E-2</v>
      </c>
      <c r="J21" s="4"/>
    </row>
    <row r="22" spans="1:10">
      <c r="A22" s="6" t="s">
        <v>80</v>
      </c>
      <c r="B22" s="6"/>
    </row>
    <row r="23" spans="1:10">
      <c r="A23" s="4" t="s">
        <v>56</v>
      </c>
      <c r="B23" s="4" t="s">
        <v>81</v>
      </c>
      <c r="C23" s="4" t="s">
        <v>82</v>
      </c>
      <c r="D23" s="4" t="s">
        <v>83</v>
      </c>
      <c r="E23" s="3" t="s">
        <v>84</v>
      </c>
    </row>
    <row r="24" spans="1:10">
      <c r="A24" s="4" t="s">
        <v>85</v>
      </c>
      <c r="B24" s="4" t="s">
        <v>86</v>
      </c>
      <c r="C24" s="4">
        <v>178</v>
      </c>
      <c r="D24" s="4">
        <v>60</v>
      </c>
      <c r="E24" s="4"/>
    </row>
    <row r="25" spans="1:10">
      <c r="A25" s="4" t="s">
        <v>87</v>
      </c>
      <c r="B25" s="4" t="s">
        <v>88</v>
      </c>
      <c r="C25" s="4">
        <v>152</v>
      </c>
      <c r="D25" s="4">
        <v>58</v>
      </c>
      <c r="E25" s="4"/>
    </row>
    <row r="26" spans="1:10">
      <c r="A26" s="4" t="s">
        <v>89</v>
      </c>
      <c r="B26" s="4" t="s">
        <v>86</v>
      </c>
      <c r="C26" s="4">
        <v>169</v>
      </c>
      <c r="D26" s="4">
        <v>62</v>
      </c>
      <c r="E26" s="4"/>
    </row>
    <row r="27" spans="1:10">
      <c r="A27" s="4" t="s">
        <v>90</v>
      </c>
      <c r="B27" s="4" t="s">
        <v>88</v>
      </c>
      <c r="C27" s="4">
        <v>162</v>
      </c>
      <c r="D27" s="4">
        <v>45</v>
      </c>
      <c r="E27" s="4"/>
    </row>
    <row r="28" spans="1:10">
      <c r="A28" s="4" t="s">
        <v>91</v>
      </c>
      <c r="B28" s="4" t="s">
        <v>86</v>
      </c>
      <c r="C28" s="4">
        <v>184</v>
      </c>
      <c r="D28" s="4">
        <v>82</v>
      </c>
      <c r="E28" s="4"/>
    </row>
    <row r="29" spans="1:10">
      <c r="A29" s="4" t="s">
        <v>92</v>
      </c>
      <c r="B29" s="4" t="s">
        <v>88</v>
      </c>
      <c r="C29" s="4">
        <v>175</v>
      </c>
      <c r="D29" s="12">
        <v>68</v>
      </c>
      <c r="E29" s="4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무작정따라하기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사용자</cp:lastModifiedBy>
  <dcterms:created xsi:type="dcterms:W3CDTF">2011-06-14T09:23:22Z</dcterms:created>
  <dcterms:modified xsi:type="dcterms:W3CDTF">2018-10-31T14:07:11Z</dcterms:modified>
</cp:coreProperties>
</file>