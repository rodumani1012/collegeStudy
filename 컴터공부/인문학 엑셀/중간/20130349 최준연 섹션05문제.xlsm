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S405-17\Downloads\"/>
    </mc:Choice>
  </mc:AlternateContent>
  <bookViews>
    <workbookView xWindow="0" yWindow="0" windowWidth="16170" windowHeight="6075" firstSheet="1" activeTab="2"/>
  </bookViews>
  <sheets>
    <sheet name="무작정따라하기" sheetId="4" r:id="rId1"/>
    <sheet name="무작정따라하기2" sheetId="5" r:id="rId2"/>
    <sheet name="기출01" sheetId="6" r:id="rId3"/>
    <sheet name="기출02" sheetId="7" r:id="rId4"/>
  </sheets>
  <definedNames>
    <definedName name="_111" localSheetId="1">무작정따라하기2!#REF!</definedName>
    <definedName name="_xlnm._FilterDatabase" localSheetId="2" hidden="1">기출01!$A$3:$E$12</definedName>
    <definedName name="_xlnm._FilterDatabase" localSheetId="0" hidden="1">무작정따라하기!$A$4:$H$14</definedName>
    <definedName name="_xlnm._FilterDatabase" localSheetId="1" hidden="1">무작정따라하기2!$A$4:$H$14</definedName>
    <definedName name="_xlnm.Criteria" localSheetId="2">기출01!$A$14:$C$16</definedName>
    <definedName name="_xlnm.Criteria" localSheetId="0">무작정따라하기!#REF!</definedName>
    <definedName name="_xlnm.Criteria" localSheetId="1">무작정따라하기2!$A$16:$B$17</definedName>
    <definedName name="_xlnm.Extract" localSheetId="2">기출01!$H$4:$K$4</definedName>
    <definedName name="_xlnm.Extract" localSheetId="0">무작정따라하기!#REF!</definedName>
    <definedName name="_xlnm.Extract" localSheetId="1">무작정따라하기2!$A$31:$H$31</definedName>
    <definedName name="MS_Access_Database_Query" localSheetId="1">무작정따라하기2!#REF!</definedName>
    <definedName name="MS_Access_Database_Query_1" localSheetId="1">무작정따라하기2!#REF!</definedName>
  </definedNames>
  <calcPr calcId="152511"/>
</workbook>
</file>

<file path=xl/calcChain.xml><?xml version="1.0" encoding="utf-8"?>
<calcChain xmlns="http://schemas.openxmlformats.org/spreadsheetml/2006/main">
  <c r="G14" i="5" l="1"/>
  <c r="F14" i="5"/>
  <c r="G13" i="5"/>
  <c r="F13" i="5"/>
  <c r="H13" i="5" s="1"/>
  <c r="G12" i="5"/>
  <c r="F12" i="5"/>
  <c r="G11" i="5"/>
  <c r="F11" i="5"/>
  <c r="H11" i="5" s="1"/>
  <c r="G10" i="5"/>
  <c r="F10" i="5"/>
  <c r="G9" i="5"/>
  <c r="F9" i="5"/>
  <c r="H9" i="5" s="1"/>
  <c r="G8" i="5"/>
  <c r="F8" i="5"/>
  <c r="G7" i="5"/>
  <c r="F7" i="5"/>
  <c r="H7" i="5" s="1"/>
  <c r="G6" i="5"/>
  <c r="F6" i="5"/>
  <c r="G5" i="5"/>
  <c r="F5" i="5"/>
  <c r="H5" i="5" s="1"/>
  <c r="G14" i="4"/>
  <c r="F14" i="4"/>
  <c r="G13" i="4"/>
  <c r="F13" i="4"/>
  <c r="H13" i="4" s="1"/>
  <c r="G12" i="4"/>
  <c r="F12" i="4"/>
  <c r="G11" i="4"/>
  <c r="F11" i="4"/>
  <c r="H11" i="4" s="1"/>
  <c r="G10" i="4"/>
  <c r="F10" i="4"/>
  <c r="G9" i="4"/>
  <c r="F9" i="4"/>
  <c r="H9" i="4" s="1"/>
  <c r="G8" i="4"/>
  <c r="F8" i="4"/>
  <c r="G7" i="4"/>
  <c r="F7" i="4"/>
  <c r="H7" i="4" s="1"/>
  <c r="G6" i="4"/>
  <c r="F6" i="4"/>
  <c r="G5" i="4"/>
  <c r="F5" i="4"/>
  <c r="H5" i="4" s="1"/>
  <c r="H6" i="4" l="1"/>
  <c r="H8" i="4"/>
  <c r="H10" i="4"/>
  <c r="H12" i="4"/>
  <c r="H14" i="4"/>
  <c r="H6" i="5"/>
  <c r="H8" i="5"/>
  <c r="H10" i="5"/>
  <c r="H12" i="5"/>
  <c r="H14" i="5"/>
</calcChain>
</file>

<file path=xl/sharedStrings.xml><?xml version="1.0" encoding="utf-8"?>
<sst xmlns="http://schemas.openxmlformats.org/spreadsheetml/2006/main" count="204" uniqueCount="84">
  <si>
    <t>퇴직금 정산 내역</t>
    <phoneticPr fontId="3" type="noConversion"/>
  </si>
  <si>
    <t>성명</t>
  </si>
  <si>
    <t>부서명</t>
    <phoneticPr fontId="3" type="noConversion"/>
  </si>
  <si>
    <t>직책</t>
    <phoneticPr fontId="3" type="noConversion"/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</si>
  <si>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</si>
  <si>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</si>
  <si>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</si>
  <si>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</si>
  <si>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</si>
  <si>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</si>
  <si>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</si>
  <si>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</si>
  <si>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</si>
  <si>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</si>
  <si>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</si>
  <si>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</si>
  <si>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</si>
  <si>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</si>
  <si>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</si>
  <si>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</si>
  <si>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</si>
  <si>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</si>
  <si>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</si>
  <si>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고객번호</t>
  </si>
  <si>
    <t>이름</t>
  </si>
  <si>
    <t>구매실적</t>
  </si>
  <si>
    <t>거래회수</t>
  </si>
  <si>
    <t>구매포인트</t>
  </si>
  <si>
    <t>설문포인트</t>
  </si>
  <si>
    <t>C94023</t>
  </si>
  <si>
    <t>박거상</t>
  </si>
  <si>
    <t>B90120</t>
  </si>
  <si>
    <t>한심해</t>
  </si>
  <si>
    <t>A93055</t>
  </si>
  <si>
    <t>최고봉</t>
  </si>
  <si>
    <t>C92050</t>
  </si>
  <si>
    <t>김민수</t>
  </si>
  <si>
    <t>B96255</t>
  </si>
  <si>
    <t>고정해</t>
  </si>
  <si>
    <t>B99130</t>
  </si>
  <si>
    <t>신선해</t>
  </si>
  <si>
    <t>C98030</t>
  </si>
  <si>
    <t>송아지</t>
  </si>
  <si>
    <t>A88001</t>
  </si>
  <si>
    <t>강효자</t>
  </si>
  <si>
    <t>A95010</t>
  </si>
  <si>
    <t>이미지</t>
  </si>
  <si>
    <t>B91038</t>
  </si>
  <si>
    <t>김예술</t>
  </si>
  <si>
    <t>강감찬</t>
    <phoneticPr fontId="3" type="noConversion"/>
  </si>
  <si>
    <t>인사부</t>
    <phoneticPr fontId="3" type="noConversion"/>
  </si>
  <si>
    <t>조민준</t>
    <phoneticPr fontId="3" type="noConversion"/>
  </si>
  <si>
    <t>인사부</t>
    <phoneticPr fontId="3" type="noConversion"/>
  </si>
  <si>
    <t>제품 생산 현황</t>
    <phoneticPr fontId="3" type="noConversion"/>
  </si>
  <si>
    <t>제품코드</t>
    <phoneticPr fontId="4" type="noConversion"/>
  </si>
  <si>
    <t>생산부서</t>
    <phoneticPr fontId="4" type="noConversion"/>
  </si>
  <si>
    <t>생산량</t>
    <phoneticPr fontId="4" type="noConversion"/>
  </si>
  <si>
    <t>불량률</t>
    <phoneticPr fontId="4" type="noConversion"/>
  </si>
  <si>
    <t>최대생산량</t>
    <phoneticPr fontId="4" type="noConversion"/>
  </si>
  <si>
    <t>PE-12</t>
    <phoneticPr fontId="4" type="noConversion"/>
  </si>
  <si>
    <t>생산1부</t>
    <phoneticPr fontId="4" type="noConversion"/>
  </si>
  <si>
    <t>PE-23</t>
    <phoneticPr fontId="4" type="noConversion"/>
  </si>
  <si>
    <t>생산2부</t>
    <phoneticPr fontId="4" type="noConversion"/>
  </si>
  <si>
    <t>PE-34</t>
    <phoneticPr fontId="4" type="noConversion"/>
  </si>
  <si>
    <t>생산3부</t>
    <phoneticPr fontId="4" type="noConversion"/>
  </si>
  <si>
    <t>CE-10</t>
    <phoneticPr fontId="4" type="noConversion"/>
  </si>
  <si>
    <t>CE-20</t>
    <phoneticPr fontId="4" type="noConversion"/>
  </si>
  <si>
    <t>CE-30</t>
    <phoneticPr fontId="4" type="noConversion"/>
  </si>
  <si>
    <t>AM-33</t>
    <phoneticPr fontId="4" type="noConversion"/>
  </si>
  <si>
    <t>고객포인트 관리</t>
    <phoneticPr fontId="3" type="noConversion"/>
  </si>
  <si>
    <t>생년월일</t>
    <phoneticPr fontId="3" type="noConversion"/>
  </si>
  <si>
    <t>근속기간</t>
    <phoneticPr fontId="2" type="noConversion"/>
  </si>
  <si>
    <t>&gt;=15</t>
    <phoneticPr fontId="2" type="noConversion"/>
  </si>
  <si>
    <t>퇴직금</t>
    <phoneticPr fontId="2" type="noConversion"/>
  </si>
  <si>
    <t>&lt;=50000</t>
    <phoneticPr fontId="2" type="noConversion"/>
  </si>
  <si>
    <t>and 조건필터</t>
    <phoneticPr fontId="2" type="noConversion"/>
  </si>
  <si>
    <t>or 조건필터</t>
    <phoneticPr fontId="2" type="noConversion"/>
  </si>
  <si>
    <t>생산부서</t>
    <phoneticPr fontId="2" type="noConversion"/>
  </si>
  <si>
    <t>생산2부</t>
    <phoneticPr fontId="2" type="noConversion"/>
  </si>
  <si>
    <t>생산량</t>
    <phoneticPr fontId="2" type="noConversion"/>
  </si>
  <si>
    <t>&gt;=900</t>
    <phoneticPr fontId="2" type="noConversion"/>
  </si>
  <si>
    <t>&lt;=1500</t>
    <phoneticPr fontId="2" type="noConversion"/>
  </si>
  <si>
    <t>제품코드</t>
    <phoneticPr fontId="2" type="noConversion"/>
  </si>
  <si>
    <t>최대생산량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</si>
</sst>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1" formatCode="_-* #,##0_-;\-* #,##0_-;_-* &quot;-&quot;_-;_-@_-"/>
    <numFmt numFmtId="176" formatCode="m&quot;월&quot;\ d&quot;일&quot;"/>
    <numFmt numFmtId="177" formatCode="&quot;₩&quot;#,##0"/>
  </numFmts>
  <fonts count="9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u/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2">
    <xf numFmtId="0" fontId="0" fillId="0" borderId="0" xfId="0">
      <alignment vertical="center"/>
    </xf>
    <xf numFmtId="0" fontId="6" fillId="0" borderId="0" xfId="1" applyFont="1"/>
    <xf numFmtId="0" fontId="6" fillId="0" borderId="0" xfId="1" applyFont="1" applyBorder="1" applyAlignment="1"/>
    <xf numFmtId="176" fontId="6" fillId="0" borderId="0" xfId="1" applyNumberFormat="1" applyFont="1" applyBorder="1" applyAlignment="1"/>
    <xf numFmtId="0" fontId="6" fillId="0" borderId="1" xfId="1" applyFont="1" applyBorder="1" applyAlignment="1">
      <alignment vertical="center"/>
    </xf>
    <xf numFmtId="0" fontId="6" fillId="0" borderId="1" xfId="1" applyNumberFormat="1" applyFont="1" applyBorder="1" applyAlignment="1"/>
    <xf numFmtId="0" fontId="6" fillId="0" borderId="1" xfId="2" applyNumberFormat="1" applyFont="1" applyBorder="1" applyAlignment="1">
      <alignment vertical="center"/>
    </xf>
    <xf numFmtId="177" fontId="6" fillId="0" borderId="1" xfId="2" applyNumberFormat="1" applyFont="1" applyBorder="1" applyAlignment="1">
      <alignment vertical="center"/>
    </xf>
    <xf numFmtId="0" fontId="6" fillId="0" borderId="1" xfId="1" applyNumberFormat="1" applyFont="1" applyFill="1" applyBorder="1" applyAlignment="1">
      <alignment vertical="center"/>
    </xf>
    <xf numFmtId="0" fontId="6" fillId="0" borderId="0" xfId="1" applyNumberFormat="1" applyFont="1" applyFill="1" applyBorder="1" applyAlignment="1">
      <alignment vertical="center"/>
    </xf>
    <xf numFmtId="0" fontId="6" fillId="0" borderId="0" xfId="1" applyFont="1" applyBorder="1" applyAlignment="1">
      <alignment vertical="center"/>
    </xf>
    <xf numFmtId="0" fontId="6" fillId="0" borderId="0" xfId="2" applyNumberFormat="1" applyFont="1" applyBorder="1" applyAlignment="1">
      <alignment vertical="center"/>
    </xf>
    <xf numFmtId="177" fontId="6" fillId="0" borderId="0" xfId="2" applyNumberFormat="1" applyFont="1" applyBorder="1" applyAlignment="1">
      <alignment vertical="center"/>
    </xf>
    <xf numFmtId="0" fontId="6" fillId="0" borderId="0" xfId="1" applyNumberFormat="1" applyFont="1"/>
    <xf numFmtId="0" fontId="6" fillId="2" borderId="0" xfId="1" applyNumberFormat="1" applyFont="1" applyFill="1"/>
    <xf numFmtId="0" fontId="8" fillId="0" borderId="0" xfId="3" applyNumberFormat="1" applyFont="1"/>
    <xf numFmtId="0" fontId="6" fillId="0" borderId="1" xfId="1" applyFont="1" applyBorder="1" applyAlignment="1">
      <alignment horizontal="center"/>
    </xf>
    <xf numFmtId="14" fontId="6" fillId="0" borderId="1" xfId="1" applyNumberFormat="1" applyFont="1" applyBorder="1" applyAlignment="1">
      <alignment horizontal="center"/>
    </xf>
    <xf numFmtId="41" fontId="6" fillId="0" borderId="1" xfId="2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7" fillId="0" borderId="0" xfId="1" applyNumberFormat="1" applyFont="1" applyFill="1" applyAlignment="1">
      <alignment horizontal="center" vertical="center"/>
    </xf>
    <xf numFmtId="0" fontId="7" fillId="0" borderId="0" xfId="1" applyFont="1" applyAlignment="1">
      <alignment horizontal="center"/>
    </xf>
  </cellXfs>
  <cellStyles count="4">
    <cellStyle name="백분율 2" xfId="3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5"/>
  <sheetViews>
    <sheetView workbookViewId="0">
      <selection activeCell="D16" sqref="D16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8" customHeight="1">
      <c r="A2" s="19" t="s">
        <v>0</v>
      </c>
      <c r="B2" s="19"/>
      <c r="C2" s="19"/>
      <c r="D2" s="19"/>
      <c r="E2" s="19"/>
      <c r="F2" s="19"/>
      <c r="G2" s="19"/>
      <c r="H2" s="19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1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4" t="s">
        <v>7</v>
      </c>
      <c r="H4" s="4" t="s">
        <v>8</v>
      </c>
    </row>
    <row r="5" spans="1:8">
      <c r="A5" s="5" t="s">
        <v>49</v>
      </c>
      <c r="B5" s="4" t="s">
        <v>9</v>
      </c>
      <c r="C5" s="4" t="s">
        <v>10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>
      <c r="A6" s="8" t="s">
        <v>11</v>
      </c>
      <c r="B6" s="4" t="s">
        <v>9</v>
      </c>
      <c r="C6" s="4" t="s">
        <v>12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>
      <c r="A7" s="8" t="s">
        <v>13</v>
      </c>
      <c r="B7" s="4" t="s">
        <v>50</v>
      </c>
      <c r="C7" s="4" t="s">
        <v>10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>
      <c r="A8" s="5" t="s">
        <v>51</v>
      </c>
      <c r="B8" s="4" t="s">
        <v>14</v>
      </c>
      <c r="C8" s="4" t="s">
        <v>15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>
      <c r="A9" s="8" t="s">
        <v>16</v>
      </c>
      <c r="B9" s="4" t="s">
        <v>14</v>
      </c>
      <c r="C9" s="4" t="s">
        <v>17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18</v>
      </c>
      <c r="B10" s="4" t="s">
        <v>9</v>
      </c>
      <c r="C10" s="4" t="s">
        <v>12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>
      <c r="A11" s="8" t="s">
        <v>19</v>
      </c>
      <c r="B11" s="4" t="s">
        <v>9</v>
      </c>
      <c r="C11" s="4" t="s">
        <v>15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>
      <c r="A12" s="8" t="s">
        <v>20</v>
      </c>
      <c r="B12" s="4" t="s">
        <v>52</v>
      </c>
      <c r="C12" s="4" t="s">
        <v>17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>
      <c r="A13" s="8" t="s">
        <v>21</v>
      </c>
      <c r="B13" s="4" t="s">
        <v>9</v>
      </c>
      <c r="C13" s="4" t="s">
        <v>17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>
      <c r="A14" s="8" t="s">
        <v>22</v>
      </c>
      <c r="B14" s="4" t="s">
        <v>14</v>
      </c>
      <c r="C14" s="4" t="s">
        <v>17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 ht="14.25" customHeight="1">
      <c r="A15" s="9"/>
      <c r="B15" s="10"/>
      <c r="C15" s="10"/>
      <c r="D15" s="11"/>
      <c r="E15" s="12"/>
      <c r="F15" s="12"/>
      <c r="G15" s="12"/>
      <c r="H15" s="12"/>
    </row>
  </sheetData>
  <mergeCells count="1">
    <mergeCell ref="A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2"/>
  <sheetViews>
    <sheetView topLeftCell="A10" workbookViewId="0">
      <selection activeCell="I30" sqref="I30"/>
    </sheetView>
  </sheetViews>
  <sheetFormatPr defaultRowHeight="16.5"/>
  <cols>
    <col min="1" max="1" width="8.875" style="1" customWidth="1"/>
    <col min="2" max="2" width="8.625" style="1" customWidth="1"/>
    <col min="3" max="3" width="4.875" style="1" customWidth="1"/>
    <col min="4" max="4" width="8.375" style="1" customWidth="1"/>
    <col min="5" max="5" width="8.75" style="1" customWidth="1"/>
    <col min="6" max="6" width="9.625" style="1" customWidth="1"/>
    <col min="7" max="7" width="6.625" style="1" customWidth="1"/>
    <col min="8" max="8" width="9.5" style="1" customWidth="1"/>
    <col min="9" max="16384" width="9" style="1"/>
  </cols>
  <sheetData>
    <row r="2" spans="1:8" ht="18" customHeight="1">
      <c r="A2" s="19" t="s">
        <v>0</v>
      </c>
      <c r="B2" s="19"/>
      <c r="C2" s="19"/>
      <c r="D2" s="19"/>
      <c r="E2" s="19"/>
      <c r="F2" s="19"/>
      <c r="G2" s="19"/>
      <c r="H2" s="19"/>
    </row>
    <row r="3" spans="1:8">
      <c r="A3" s="2"/>
      <c r="B3" s="2"/>
      <c r="C3" s="2"/>
      <c r="D3" s="2"/>
      <c r="E3" s="2"/>
      <c r="F3" s="2"/>
      <c r="G3" s="3"/>
      <c r="H3" s="2"/>
    </row>
    <row r="4" spans="1:8">
      <c r="A4" s="4" t="s">
        <v>1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4" t="s">
        <v>7</v>
      </c>
      <c r="H4" s="4" t="s">
        <v>8</v>
      </c>
    </row>
    <row r="5" spans="1:8">
      <c r="A5" s="5" t="s">
        <v>49</v>
      </c>
      <c r="B5" s="4" t="s">
        <v>9</v>
      </c>
      <c r="C5" s="4" t="s">
        <v>10</v>
      </c>
      <c r="D5" s="6">
        <v>25</v>
      </c>
      <c r="E5" s="7">
        <v>2800</v>
      </c>
      <c r="F5" s="7">
        <f t="shared" ref="F5:F14" si="0">E5*400%</f>
        <v>11200</v>
      </c>
      <c r="G5" s="7">
        <f t="shared" ref="G5:G14" si="1">IF(D5&gt;=30, E5*10%, IF(D5&gt;=20, E5*5%, E5*2%))</f>
        <v>140</v>
      </c>
      <c r="H5" s="7">
        <f t="shared" ref="H5:H14" si="2">D5*E5+F5+G5</f>
        <v>81340</v>
      </c>
    </row>
    <row r="6" spans="1:8">
      <c r="A6" s="8" t="s">
        <v>11</v>
      </c>
      <c r="B6" s="4" t="s">
        <v>9</v>
      </c>
      <c r="C6" s="4" t="s">
        <v>12</v>
      </c>
      <c r="D6" s="6">
        <v>12</v>
      </c>
      <c r="E6" s="7">
        <v>2000</v>
      </c>
      <c r="F6" s="7">
        <f t="shared" si="0"/>
        <v>8000</v>
      </c>
      <c r="G6" s="7">
        <f t="shared" si="1"/>
        <v>40</v>
      </c>
      <c r="H6" s="7">
        <f t="shared" si="2"/>
        <v>32040</v>
      </c>
    </row>
    <row r="7" spans="1:8">
      <c r="A7" s="8" t="s">
        <v>13</v>
      </c>
      <c r="B7" s="4" t="s">
        <v>50</v>
      </c>
      <c r="C7" s="4" t="s">
        <v>10</v>
      </c>
      <c r="D7" s="6">
        <v>21</v>
      </c>
      <c r="E7" s="7">
        <v>2800</v>
      </c>
      <c r="F7" s="7">
        <f t="shared" si="0"/>
        <v>11200</v>
      </c>
      <c r="G7" s="7">
        <f t="shared" si="1"/>
        <v>140</v>
      </c>
      <c r="H7" s="7">
        <f t="shared" si="2"/>
        <v>70140</v>
      </c>
    </row>
    <row r="8" spans="1:8">
      <c r="A8" s="5" t="s">
        <v>51</v>
      </c>
      <c r="B8" s="4" t="s">
        <v>14</v>
      </c>
      <c r="C8" s="4" t="s">
        <v>15</v>
      </c>
      <c r="D8" s="6">
        <v>25</v>
      </c>
      <c r="E8" s="7">
        <v>2500</v>
      </c>
      <c r="F8" s="7">
        <f t="shared" si="0"/>
        <v>10000</v>
      </c>
      <c r="G8" s="7">
        <f t="shared" si="1"/>
        <v>125</v>
      </c>
      <c r="H8" s="7">
        <f t="shared" si="2"/>
        <v>72625</v>
      </c>
    </row>
    <row r="9" spans="1:8">
      <c r="A9" s="8" t="s">
        <v>16</v>
      </c>
      <c r="B9" s="4" t="s">
        <v>14</v>
      </c>
      <c r="C9" s="4" t="s">
        <v>17</v>
      </c>
      <c r="D9" s="6">
        <v>9</v>
      </c>
      <c r="E9" s="7">
        <v>1800</v>
      </c>
      <c r="F9" s="7">
        <f t="shared" si="0"/>
        <v>7200</v>
      </c>
      <c r="G9" s="7">
        <f t="shared" si="1"/>
        <v>36</v>
      </c>
      <c r="H9" s="7">
        <f t="shared" si="2"/>
        <v>23436</v>
      </c>
    </row>
    <row r="10" spans="1:8">
      <c r="A10" s="8" t="s">
        <v>18</v>
      </c>
      <c r="B10" s="4" t="s">
        <v>9</v>
      </c>
      <c r="C10" s="4" t="s">
        <v>12</v>
      </c>
      <c r="D10" s="6">
        <v>18</v>
      </c>
      <c r="E10" s="7">
        <v>2000</v>
      </c>
      <c r="F10" s="7">
        <f t="shared" si="0"/>
        <v>8000</v>
      </c>
      <c r="G10" s="7">
        <f t="shared" si="1"/>
        <v>40</v>
      </c>
      <c r="H10" s="7">
        <f t="shared" si="2"/>
        <v>44040</v>
      </c>
    </row>
    <row r="11" spans="1:8">
      <c r="A11" s="8" t="s">
        <v>19</v>
      </c>
      <c r="B11" s="4" t="s">
        <v>9</v>
      </c>
      <c r="C11" s="4" t="s">
        <v>15</v>
      </c>
      <c r="D11" s="6">
        <v>22</v>
      </c>
      <c r="E11" s="7">
        <v>2500</v>
      </c>
      <c r="F11" s="7">
        <f t="shared" si="0"/>
        <v>10000</v>
      </c>
      <c r="G11" s="7">
        <f t="shared" si="1"/>
        <v>125</v>
      </c>
      <c r="H11" s="7">
        <f t="shared" si="2"/>
        <v>65125</v>
      </c>
    </row>
    <row r="12" spans="1:8">
      <c r="A12" s="8" t="s">
        <v>20</v>
      </c>
      <c r="B12" s="4" t="s">
        <v>52</v>
      </c>
      <c r="C12" s="4" t="s">
        <v>17</v>
      </c>
      <c r="D12" s="6">
        <v>14</v>
      </c>
      <c r="E12" s="7">
        <v>1800</v>
      </c>
      <c r="F12" s="7">
        <f t="shared" si="0"/>
        <v>7200</v>
      </c>
      <c r="G12" s="7">
        <f t="shared" si="1"/>
        <v>36</v>
      </c>
      <c r="H12" s="7">
        <f t="shared" si="2"/>
        <v>32436</v>
      </c>
    </row>
    <row r="13" spans="1:8">
      <c r="A13" s="8" t="s">
        <v>21</v>
      </c>
      <c r="B13" s="4" t="s">
        <v>9</v>
      </c>
      <c r="C13" s="4" t="s">
        <v>17</v>
      </c>
      <c r="D13" s="6">
        <v>7</v>
      </c>
      <c r="E13" s="7">
        <v>1800</v>
      </c>
      <c r="F13" s="7">
        <f t="shared" si="0"/>
        <v>7200</v>
      </c>
      <c r="G13" s="7">
        <f t="shared" si="1"/>
        <v>36</v>
      </c>
      <c r="H13" s="7">
        <f t="shared" si="2"/>
        <v>19836</v>
      </c>
    </row>
    <row r="14" spans="1:8">
      <c r="A14" s="8" t="s">
        <v>22</v>
      </c>
      <c r="B14" s="4" t="s">
        <v>14</v>
      </c>
      <c r="C14" s="4" t="s">
        <v>17</v>
      </c>
      <c r="D14" s="6">
        <v>7</v>
      </c>
      <c r="E14" s="7">
        <v>1800</v>
      </c>
      <c r="F14" s="7">
        <f t="shared" si="0"/>
        <v>7200</v>
      </c>
      <c r="G14" s="7">
        <f t="shared" si="1"/>
        <v>36</v>
      </c>
      <c r="H14" s="7">
        <f t="shared" si="2"/>
        <v>19836</v>
      </c>
    </row>
    <row r="15" spans="1:8">
      <c r="A15" s="9"/>
      <c r="B15" s="10"/>
      <c r="C15" s="10"/>
      <c r="D15" s="11"/>
      <c r="E15" s="12"/>
      <c r="F15" s="12"/>
      <c r="G15" s="12"/>
      <c r="H15" s="12"/>
    </row>
    <row r="16" spans="1:8">
      <c r="A16" s="1" t="s">
        <v>71</v>
      </c>
      <c r="B16" s="1" t="s">
        <v>73</v>
      </c>
    </row>
    <row r="17" spans="1:8">
      <c r="A17" s="1" t="s">
        <v>72</v>
      </c>
      <c r="B17" s="1" t="s">
        <v>74</v>
      </c>
    </row>
    <row r="19" spans="1:8">
      <c r="A19" s="1" t="s">
        <v>75</v>
      </c>
    </row>
    <row r="20" spans="1:8">
      <c r="A20" s="4" t="s">
        <v>1</v>
      </c>
      <c r="B20" s="4" t="s">
        <v>2</v>
      </c>
      <c r="C20" s="4" t="s">
        <v>3</v>
      </c>
      <c r="D20" s="4" t="s">
        <v>4</v>
      </c>
      <c r="E20" s="4" t="s">
        <v>5</v>
      </c>
      <c r="F20" s="4" t="s">
        <v>6</v>
      </c>
      <c r="G20" s="4" t="s">
        <v>7</v>
      </c>
      <c r="H20" s="4" t="s">
        <v>8</v>
      </c>
    </row>
    <row r="21" spans="1:8">
      <c r="A21" s="8" t="s">
        <v>18</v>
      </c>
      <c r="B21" s="4" t="s">
        <v>9</v>
      </c>
      <c r="C21" s="4" t="s">
        <v>12</v>
      </c>
      <c r="D21" s="6">
        <v>18</v>
      </c>
      <c r="E21" s="7">
        <v>2000</v>
      </c>
      <c r="F21" s="7">
        <v>8000</v>
      </c>
      <c r="G21" s="7">
        <v>40</v>
      </c>
      <c r="H21" s="7">
        <v>44040</v>
      </c>
    </row>
    <row r="22" spans="1:8">
      <c r="A22" s="9"/>
      <c r="B22" s="10"/>
      <c r="C22" s="10"/>
      <c r="D22" s="11"/>
      <c r="E22" s="12"/>
      <c r="F22" s="12"/>
      <c r="G22" s="12"/>
      <c r="H22" s="12"/>
    </row>
    <row r="23" spans="1:8">
      <c r="A23" s="1" t="s">
        <v>76</v>
      </c>
    </row>
    <row r="24" spans="1:8">
      <c r="A24" s="4" t="s">
        <v>1</v>
      </c>
      <c r="B24" s="4" t="s">
        <v>2</v>
      </c>
      <c r="C24" s="4" t="s">
        <v>3</v>
      </c>
      <c r="D24" s="4" t="s">
        <v>4</v>
      </c>
      <c r="E24" s="4" t="s">
        <v>5</v>
      </c>
      <c r="F24" s="4" t="s">
        <v>6</v>
      </c>
      <c r="G24" s="4" t="s">
        <v>7</v>
      </c>
      <c r="H24" s="4" t="s">
        <v>8</v>
      </c>
    </row>
    <row r="25" spans="1:8">
      <c r="A25" s="5" t="s">
        <v>49</v>
      </c>
      <c r="B25" s="4" t="s">
        <v>9</v>
      </c>
      <c r="C25" s="4" t="s">
        <v>10</v>
      </c>
      <c r="D25" s="6">
        <v>25</v>
      </c>
      <c r="E25" s="7">
        <v>2800</v>
      </c>
      <c r="F25" s="7">
        <v>11200</v>
      </c>
      <c r="G25" s="7">
        <v>140</v>
      </c>
      <c r="H25" s="7">
        <v>81340</v>
      </c>
    </row>
    <row r="26" spans="1:8">
      <c r="A26" s="8" t="s">
        <v>13</v>
      </c>
      <c r="B26" s="4" t="s">
        <v>50</v>
      </c>
      <c r="C26" s="4" t="s">
        <v>10</v>
      </c>
      <c r="D26" s="6">
        <v>21</v>
      </c>
      <c r="E26" s="7">
        <v>2800</v>
      </c>
      <c r="F26" s="7">
        <v>11200</v>
      </c>
      <c r="G26" s="7">
        <v>140</v>
      </c>
      <c r="H26" s="7">
        <v>70140</v>
      </c>
    </row>
    <row r="27" spans="1:8">
      <c r="A27" s="5" t="s">
        <v>51</v>
      </c>
      <c r="B27" s="4" t="s">
        <v>14</v>
      </c>
      <c r="C27" s="4" t="s">
        <v>15</v>
      </c>
      <c r="D27" s="6">
        <v>25</v>
      </c>
      <c r="E27" s="7">
        <v>2500</v>
      </c>
      <c r="F27" s="7">
        <v>10000</v>
      </c>
      <c r="G27" s="7">
        <v>125</v>
      </c>
      <c r="H27" s="7">
        <v>72625</v>
      </c>
    </row>
    <row r="28" spans="1:8">
      <c r="A28" s="8" t="s">
        <v>18</v>
      </c>
      <c r="B28" s="4" t="s">
        <v>9</v>
      </c>
      <c r="C28" s="4" t="s">
        <v>12</v>
      </c>
      <c r="D28" s="6">
        <v>18</v>
      </c>
      <c r="E28" s="7">
        <v>2000</v>
      </c>
      <c r="F28" s="7">
        <v>8000</v>
      </c>
      <c r="G28" s="7">
        <v>40</v>
      </c>
      <c r="H28" s="7">
        <v>44040</v>
      </c>
    </row>
    <row r="29" spans="1:8">
      <c r="A29" s="8" t="s">
        <v>19</v>
      </c>
      <c r="B29" s="4" t="s">
        <v>9</v>
      </c>
      <c r="C29" s="4" t="s">
        <v>15</v>
      </c>
      <c r="D29" s="6">
        <v>22</v>
      </c>
      <c r="E29" s="7">
        <v>2500</v>
      </c>
      <c r="F29" s="7">
        <v>10000</v>
      </c>
      <c r="G29" s="7">
        <v>125</v>
      </c>
      <c r="H29" s="7">
        <v>65125</v>
      </c>
    </row>
    <row r="31" spans="1:8">
      <c r="A31" s="10"/>
      <c r="B31" s="10"/>
      <c r="C31" s="10"/>
      <c r="D31" s="10"/>
      <c r="E31" s="10"/>
      <c r="F31" s="10"/>
      <c r="G31" s="10"/>
      <c r="H31" s="10"/>
    </row>
    <row r="32" spans="1:8">
      <c r="A32" s="9"/>
      <c r="B32" s="10"/>
      <c r="C32" s="10"/>
      <c r="D32" s="11"/>
      <c r="E32" s="12"/>
      <c r="F32" s="12"/>
      <c r="G32" s="12"/>
      <c r="H32" s="12"/>
    </row>
  </sheetData>
  <mergeCells count="1">
    <mergeCell ref="A2:H2"/>
  </mergeCells>
  <phoneticPr fontId="2" type="noConversion"/>
  <pageMargins left="0.75" right="0.75" top="1" bottom="1" header="0.5" footer="0.5"/>
  <pageSetup paperSize="9" orientation="portrait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3"/>
  <sheetViews>
    <sheetView tabSelected="1" workbookViewId="0">
      <selection activeCell="H4" sqref="H4"/>
    </sheetView>
  </sheetViews>
  <sheetFormatPr defaultRowHeight="16.5"/>
  <cols>
    <col min="1" max="4" width="9" style="13"/>
    <col min="5" max="5" width="11" style="13" bestFit="1" customWidth="1"/>
    <col min="6" max="16384" width="9" style="13"/>
  </cols>
  <sheetData>
    <row r="1" spans="1:11" ht="20.25">
      <c r="A1" s="20" t="s">
        <v>53</v>
      </c>
      <c r="B1" s="20"/>
      <c r="C1" s="20"/>
      <c r="D1" s="20"/>
      <c r="E1" s="20"/>
    </row>
    <row r="3" spans="1:11">
      <c r="A3" s="14" t="s">
        <v>54</v>
      </c>
      <c r="B3" s="14" t="s">
        <v>55</v>
      </c>
      <c r="C3" s="14" t="s">
        <v>56</v>
      </c>
      <c r="D3" s="14" t="s">
        <v>57</v>
      </c>
      <c r="E3" s="14" t="s">
        <v>58</v>
      </c>
    </row>
    <row r="4" spans="1:11">
      <c r="A4" s="13" t="s">
        <v>59</v>
      </c>
      <c r="B4" s="13" t="s">
        <v>60</v>
      </c>
      <c r="C4" s="13">
        <v>800</v>
      </c>
      <c r="D4" s="15">
        <v>0</v>
      </c>
      <c r="E4" s="13">
        <v>1000</v>
      </c>
      <c r="H4" s="13" t="s">
        <v>82</v>
      </c>
      <c r="I4" s="13" t="s">
        <v>77</v>
      </c>
      <c r="J4" s="13" t="s">
        <v>79</v>
      </c>
      <c r="K4" s="13" t="s">
        <v>83</v>
      </c>
    </row>
    <row r="5" spans="1:11">
      <c r="A5" s="13" t="s">
        <v>61</v>
      </c>
      <c r="B5" s="13" t="s">
        <v>62</v>
      </c>
      <c r="C5" s="13">
        <v>2000</v>
      </c>
      <c r="D5" s="15">
        <v>0.04</v>
      </c>
      <c r="E5" s="13">
        <v>2500</v>
      </c>
      <c r="H5" s="13" t="s">
        <v>61</v>
      </c>
      <c r="I5" s="13" t="s">
        <v>62</v>
      </c>
      <c r="J5" s="13">
        <v>2000</v>
      </c>
      <c r="K5" s="13">
        <v>2500</v>
      </c>
    </row>
    <row r="6" spans="1:11">
      <c r="A6" s="13" t="s">
        <v>63</v>
      </c>
      <c r="B6" s="13" t="s">
        <v>64</v>
      </c>
      <c r="C6" s="13">
        <v>960</v>
      </c>
      <c r="D6" s="15">
        <v>0</v>
      </c>
      <c r="E6" s="13">
        <v>1200</v>
      </c>
      <c r="H6" s="13" t="s">
        <v>63</v>
      </c>
      <c r="I6" s="13" t="s">
        <v>64</v>
      </c>
      <c r="J6" s="13">
        <v>960</v>
      </c>
      <c r="K6" s="13">
        <v>1200</v>
      </c>
    </row>
    <row r="7" spans="1:11">
      <c r="A7" s="13" t="s">
        <v>65</v>
      </c>
      <c r="B7" s="13" t="s">
        <v>60</v>
      </c>
      <c r="C7" s="13">
        <v>720</v>
      </c>
      <c r="D7" s="15">
        <v>0</v>
      </c>
      <c r="E7" s="13">
        <v>900</v>
      </c>
      <c r="H7" s="13" t="s">
        <v>66</v>
      </c>
      <c r="I7" s="13" t="s">
        <v>62</v>
      </c>
      <c r="J7" s="13">
        <v>720</v>
      </c>
      <c r="K7" s="13">
        <v>1500</v>
      </c>
    </row>
    <row r="8" spans="1:11">
      <c r="A8" s="13" t="s">
        <v>66</v>
      </c>
      <c r="B8" s="13" t="s">
        <v>62</v>
      </c>
      <c r="C8" s="13">
        <v>720</v>
      </c>
      <c r="D8" s="15">
        <v>0.02</v>
      </c>
      <c r="E8" s="13">
        <v>1500</v>
      </c>
      <c r="H8" s="13" t="s">
        <v>61</v>
      </c>
      <c r="I8" s="13" t="s">
        <v>62</v>
      </c>
      <c r="J8" s="13">
        <v>2000</v>
      </c>
      <c r="K8" s="13">
        <v>2500</v>
      </c>
    </row>
    <row r="9" spans="1:11">
      <c r="A9" s="13" t="s">
        <v>67</v>
      </c>
      <c r="B9" s="13" t="s">
        <v>64</v>
      </c>
      <c r="C9" s="13">
        <v>2800</v>
      </c>
      <c r="D9" s="15">
        <v>0.04</v>
      </c>
      <c r="E9" s="13">
        <v>3500</v>
      </c>
      <c r="H9" s="13" t="s">
        <v>68</v>
      </c>
      <c r="I9" s="13" t="s">
        <v>64</v>
      </c>
      <c r="J9" s="13">
        <v>1200</v>
      </c>
      <c r="K9" s="13">
        <v>1500</v>
      </c>
    </row>
    <row r="10" spans="1:11">
      <c r="A10" s="13" t="s">
        <v>59</v>
      </c>
      <c r="B10" s="13" t="s">
        <v>60</v>
      </c>
      <c r="C10" s="13">
        <v>800</v>
      </c>
      <c r="D10" s="15">
        <v>0</v>
      </c>
      <c r="E10" s="13">
        <v>1000</v>
      </c>
    </row>
    <row r="11" spans="1:11">
      <c r="A11" s="13" t="s">
        <v>61</v>
      </c>
      <c r="B11" s="13" t="s">
        <v>62</v>
      </c>
      <c r="C11" s="13">
        <v>2000</v>
      </c>
      <c r="D11" s="15">
        <v>0.04</v>
      </c>
      <c r="E11" s="13">
        <v>2500</v>
      </c>
    </row>
    <row r="12" spans="1:11">
      <c r="A12" s="13" t="s">
        <v>68</v>
      </c>
      <c r="B12" s="13" t="s">
        <v>64</v>
      </c>
      <c r="C12" s="13">
        <v>1200</v>
      </c>
      <c r="D12" s="15">
        <v>0.02</v>
      </c>
      <c r="E12" s="13">
        <v>1500</v>
      </c>
    </row>
    <row r="14" spans="1:11">
      <c r="A14" s="13" t="s">
        <v>77</v>
      </c>
      <c r="B14" s="13" t="s">
        <v>79</v>
      </c>
      <c r="C14" s="13" t="s">
        <v>79</v>
      </c>
    </row>
    <row r="15" spans="1:11">
      <c r="A15" s="13" t="s">
        <v>78</v>
      </c>
    </row>
    <row r="16" spans="1:11">
      <c r="B16" s="13" t="s">
        <v>80</v>
      </c>
      <c r="C16" s="13" t="s">
        <v>81</v>
      </c>
    </row>
    <row r="18" spans="1:4">
      <c r="A18" s="14" t="s">
        <v>54</v>
      </c>
      <c r="B18" s="14" t="s">
        <v>55</v>
      </c>
      <c r="C18" s="14" t="s">
        <v>56</v>
      </c>
      <c r="D18" s="14" t="s">
        <v>57</v>
      </c>
    </row>
    <row r="19" spans="1:4">
      <c r="A19" s="13" t="s">
        <v>61</v>
      </c>
      <c r="B19" s="13" t="s">
        <v>62</v>
      </c>
      <c r="C19" s="13">
        <v>2000</v>
      </c>
      <c r="D19" s="15">
        <v>0.04</v>
      </c>
    </row>
    <row r="20" spans="1:4">
      <c r="A20" s="13" t="s">
        <v>63</v>
      </c>
      <c r="B20" s="13" t="s">
        <v>64</v>
      </c>
      <c r="C20" s="13">
        <v>960</v>
      </c>
      <c r="D20" s="15">
        <v>0</v>
      </c>
    </row>
    <row r="21" spans="1:4">
      <c r="A21" s="13" t="s">
        <v>66</v>
      </c>
      <c r="B21" s="13" t="s">
        <v>62</v>
      </c>
      <c r="C21" s="13">
        <v>720</v>
      </c>
      <c r="D21" s="15">
        <v>0.02</v>
      </c>
    </row>
    <row r="22" spans="1:4">
      <c r="A22" s="13" t="s">
        <v>61</v>
      </c>
      <c r="B22" s="13" t="s">
        <v>62</v>
      </c>
      <c r="C22" s="13">
        <v>2000</v>
      </c>
      <c r="D22" s="15">
        <v>0.04</v>
      </c>
    </row>
    <row r="23" spans="1:4">
      <c r="A23" s="13" t="s">
        <v>68</v>
      </c>
      <c r="B23" s="13" t="s">
        <v>64</v>
      </c>
      <c r="C23" s="13">
        <v>1200</v>
      </c>
      <c r="D23" s="15">
        <v>0.02</v>
      </c>
    </row>
  </sheetData>
  <mergeCells count="1">
    <mergeCell ref="A1:E1"/>
  </mergeCells>
  <phoneticPr fontId="2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>
      <selection sqref="A1:G1"/>
    </sheetView>
  </sheetViews>
  <sheetFormatPr defaultRowHeight="16.5"/>
  <cols>
    <col min="1" max="1" width="14" style="1" bestFit="1" customWidth="1"/>
    <col min="2" max="2" width="9" style="1"/>
    <col min="3" max="3" width="12.875" style="1" bestFit="1" customWidth="1"/>
    <col min="4" max="4" width="13" style="1" bestFit="1" customWidth="1"/>
    <col min="5" max="5" width="9" style="1"/>
    <col min="6" max="7" width="11" style="1" bestFit="1" customWidth="1"/>
    <col min="8" max="256" width="9" style="1"/>
    <col min="257" max="257" width="14" style="1" bestFit="1" customWidth="1"/>
    <col min="258" max="258" width="9" style="1"/>
    <col min="259" max="259" width="12.875" style="1" bestFit="1" customWidth="1"/>
    <col min="260" max="260" width="13" style="1" bestFit="1" customWidth="1"/>
    <col min="261" max="512" width="9" style="1"/>
    <col min="513" max="513" width="14" style="1" bestFit="1" customWidth="1"/>
    <col min="514" max="514" width="9" style="1"/>
    <col min="515" max="515" width="12.875" style="1" bestFit="1" customWidth="1"/>
    <col min="516" max="516" width="13" style="1" bestFit="1" customWidth="1"/>
    <col min="517" max="768" width="9" style="1"/>
    <col min="769" max="769" width="14" style="1" bestFit="1" customWidth="1"/>
    <col min="770" max="770" width="9" style="1"/>
    <col min="771" max="771" width="12.875" style="1" bestFit="1" customWidth="1"/>
    <col min="772" max="772" width="13" style="1" bestFit="1" customWidth="1"/>
    <col min="773" max="1024" width="9" style="1"/>
    <col min="1025" max="1025" width="14" style="1" bestFit="1" customWidth="1"/>
    <col min="1026" max="1026" width="9" style="1"/>
    <col min="1027" max="1027" width="12.875" style="1" bestFit="1" customWidth="1"/>
    <col min="1028" max="1028" width="13" style="1" bestFit="1" customWidth="1"/>
    <col min="1029" max="1280" width="9" style="1"/>
    <col min="1281" max="1281" width="14" style="1" bestFit="1" customWidth="1"/>
    <col min="1282" max="1282" width="9" style="1"/>
    <col min="1283" max="1283" width="12.875" style="1" bestFit="1" customWidth="1"/>
    <col min="1284" max="1284" width="13" style="1" bestFit="1" customWidth="1"/>
    <col min="1285" max="1536" width="9" style="1"/>
    <col min="1537" max="1537" width="14" style="1" bestFit="1" customWidth="1"/>
    <col min="1538" max="1538" width="9" style="1"/>
    <col min="1539" max="1539" width="12.875" style="1" bestFit="1" customWidth="1"/>
    <col min="1540" max="1540" width="13" style="1" bestFit="1" customWidth="1"/>
    <col min="1541" max="1792" width="9" style="1"/>
    <col min="1793" max="1793" width="14" style="1" bestFit="1" customWidth="1"/>
    <col min="1794" max="1794" width="9" style="1"/>
    <col min="1795" max="1795" width="12.875" style="1" bestFit="1" customWidth="1"/>
    <col min="1796" max="1796" width="13" style="1" bestFit="1" customWidth="1"/>
    <col min="1797" max="2048" width="9" style="1"/>
    <col min="2049" max="2049" width="14" style="1" bestFit="1" customWidth="1"/>
    <col min="2050" max="2050" width="9" style="1"/>
    <col min="2051" max="2051" width="12.875" style="1" bestFit="1" customWidth="1"/>
    <col min="2052" max="2052" width="13" style="1" bestFit="1" customWidth="1"/>
    <col min="2053" max="2304" width="9" style="1"/>
    <col min="2305" max="2305" width="14" style="1" bestFit="1" customWidth="1"/>
    <col min="2306" max="2306" width="9" style="1"/>
    <col min="2307" max="2307" width="12.875" style="1" bestFit="1" customWidth="1"/>
    <col min="2308" max="2308" width="13" style="1" bestFit="1" customWidth="1"/>
    <col min="2309" max="2560" width="9" style="1"/>
    <col min="2561" max="2561" width="14" style="1" bestFit="1" customWidth="1"/>
    <col min="2562" max="2562" width="9" style="1"/>
    <col min="2563" max="2563" width="12.875" style="1" bestFit="1" customWidth="1"/>
    <col min="2564" max="2564" width="13" style="1" bestFit="1" customWidth="1"/>
    <col min="2565" max="2816" width="9" style="1"/>
    <col min="2817" max="2817" width="14" style="1" bestFit="1" customWidth="1"/>
    <col min="2818" max="2818" width="9" style="1"/>
    <col min="2819" max="2819" width="12.875" style="1" bestFit="1" customWidth="1"/>
    <col min="2820" max="2820" width="13" style="1" bestFit="1" customWidth="1"/>
    <col min="2821" max="3072" width="9" style="1"/>
    <col min="3073" max="3073" width="14" style="1" bestFit="1" customWidth="1"/>
    <col min="3074" max="3074" width="9" style="1"/>
    <col min="3075" max="3075" width="12.875" style="1" bestFit="1" customWidth="1"/>
    <col min="3076" max="3076" width="13" style="1" bestFit="1" customWidth="1"/>
    <col min="3077" max="3328" width="9" style="1"/>
    <col min="3329" max="3329" width="14" style="1" bestFit="1" customWidth="1"/>
    <col min="3330" max="3330" width="9" style="1"/>
    <col min="3331" max="3331" width="12.875" style="1" bestFit="1" customWidth="1"/>
    <col min="3332" max="3332" width="13" style="1" bestFit="1" customWidth="1"/>
    <col min="3333" max="3584" width="9" style="1"/>
    <col min="3585" max="3585" width="14" style="1" bestFit="1" customWidth="1"/>
    <col min="3586" max="3586" width="9" style="1"/>
    <col min="3587" max="3587" width="12.875" style="1" bestFit="1" customWidth="1"/>
    <col min="3588" max="3588" width="13" style="1" bestFit="1" customWidth="1"/>
    <col min="3589" max="3840" width="9" style="1"/>
    <col min="3841" max="3841" width="14" style="1" bestFit="1" customWidth="1"/>
    <col min="3842" max="3842" width="9" style="1"/>
    <col min="3843" max="3843" width="12.875" style="1" bestFit="1" customWidth="1"/>
    <col min="3844" max="3844" width="13" style="1" bestFit="1" customWidth="1"/>
    <col min="3845" max="4096" width="9" style="1"/>
    <col min="4097" max="4097" width="14" style="1" bestFit="1" customWidth="1"/>
    <col min="4098" max="4098" width="9" style="1"/>
    <col min="4099" max="4099" width="12.875" style="1" bestFit="1" customWidth="1"/>
    <col min="4100" max="4100" width="13" style="1" bestFit="1" customWidth="1"/>
    <col min="4101" max="4352" width="9" style="1"/>
    <col min="4353" max="4353" width="14" style="1" bestFit="1" customWidth="1"/>
    <col min="4354" max="4354" width="9" style="1"/>
    <col min="4355" max="4355" width="12.875" style="1" bestFit="1" customWidth="1"/>
    <col min="4356" max="4356" width="13" style="1" bestFit="1" customWidth="1"/>
    <col min="4357" max="4608" width="9" style="1"/>
    <col min="4609" max="4609" width="14" style="1" bestFit="1" customWidth="1"/>
    <col min="4610" max="4610" width="9" style="1"/>
    <col min="4611" max="4611" width="12.875" style="1" bestFit="1" customWidth="1"/>
    <col min="4612" max="4612" width="13" style="1" bestFit="1" customWidth="1"/>
    <col min="4613" max="4864" width="9" style="1"/>
    <col min="4865" max="4865" width="14" style="1" bestFit="1" customWidth="1"/>
    <col min="4866" max="4866" width="9" style="1"/>
    <col min="4867" max="4867" width="12.875" style="1" bestFit="1" customWidth="1"/>
    <col min="4868" max="4868" width="13" style="1" bestFit="1" customWidth="1"/>
    <col min="4869" max="5120" width="9" style="1"/>
    <col min="5121" max="5121" width="14" style="1" bestFit="1" customWidth="1"/>
    <col min="5122" max="5122" width="9" style="1"/>
    <col min="5123" max="5123" width="12.875" style="1" bestFit="1" customWidth="1"/>
    <col min="5124" max="5124" width="13" style="1" bestFit="1" customWidth="1"/>
    <col min="5125" max="5376" width="9" style="1"/>
    <col min="5377" max="5377" width="14" style="1" bestFit="1" customWidth="1"/>
    <col min="5378" max="5378" width="9" style="1"/>
    <col min="5379" max="5379" width="12.875" style="1" bestFit="1" customWidth="1"/>
    <col min="5380" max="5380" width="13" style="1" bestFit="1" customWidth="1"/>
    <col min="5381" max="5632" width="9" style="1"/>
    <col min="5633" max="5633" width="14" style="1" bestFit="1" customWidth="1"/>
    <col min="5634" max="5634" width="9" style="1"/>
    <col min="5635" max="5635" width="12.875" style="1" bestFit="1" customWidth="1"/>
    <col min="5636" max="5636" width="13" style="1" bestFit="1" customWidth="1"/>
    <col min="5637" max="5888" width="9" style="1"/>
    <col min="5889" max="5889" width="14" style="1" bestFit="1" customWidth="1"/>
    <col min="5890" max="5890" width="9" style="1"/>
    <col min="5891" max="5891" width="12.875" style="1" bestFit="1" customWidth="1"/>
    <col min="5892" max="5892" width="13" style="1" bestFit="1" customWidth="1"/>
    <col min="5893" max="6144" width="9" style="1"/>
    <col min="6145" max="6145" width="14" style="1" bestFit="1" customWidth="1"/>
    <col min="6146" max="6146" width="9" style="1"/>
    <col min="6147" max="6147" width="12.875" style="1" bestFit="1" customWidth="1"/>
    <col min="6148" max="6148" width="13" style="1" bestFit="1" customWidth="1"/>
    <col min="6149" max="6400" width="9" style="1"/>
    <col min="6401" max="6401" width="14" style="1" bestFit="1" customWidth="1"/>
    <col min="6402" max="6402" width="9" style="1"/>
    <col min="6403" max="6403" width="12.875" style="1" bestFit="1" customWidth="1"/>
    <col min="6404" max="6404" width="13" style="1" bestFit="1" customWidth="1"/>
    <col min="6405" max="6656" width="9" style="1"/>
    <col min="6657" max="6657" width="14" style="1" bestFit="1" customWidth="1"/>
    <col min="6658" max="6658" width="9" style="1"/>
    <col min="6659" max="6659" width="12.875" style="1" bestFit="1" customWidth="1"/>
    <col min="6660" max="6660" width="13" style="1" bestFit="1" customWidth="1"/>
    <col min="6661" max="6912" width="9" style="1"/>
    <col min="6913" max="6913" width="14" style="1" bestFit="1" customWidth="1"/>
    <col min="6914" max="6914" width="9" style="1"/>
    <col min="6915" max="6915" width="12.875" style="1" bestFit="1" customWidth="1"/>
    <col min="6916" max="6916" width="13" style="1" bestFit="1" customWidth="1"/>
    <col min="6917" max="7168" width="9" style="1"/>
    <col min="7169" max="7169" width="14" style="1" bestFit="1" customWidth="1"/>
    <col min="7170" max="7170" width="9" style="1"/>
    <col min="7171" max="7171" width="12.875" style="1" bestFit="1" customWidth="1"/>
    <col min="7172" max="7172" width="13" style="1" bestFit="1" customWidth="1"/>
    <col min="7173" max="7424" width="9" style="1"/>
    <col min="7425" max="7425" width="14" style="1" bestFit="1" customWidth="1"/>
    <col min="7426" max="7426" width="9" style="1"/>
    <col min="7427" max="7427" width="12.875" style="1" bestFit="1" customWidth="1"/>
    <col min="7428" max="7428" width="13" style="1" bestFit="1" customWidth="1"/>
    <col min="7429" max="7680" width="9" style="1"/>
    <col min="7681" max="7681" width="14" style="1" bestFit="1" customWidth="1"/>
    <col min="7682" max="7682" width="9" style="1"/>
    <col min="7683" max="7683" width="12.875" style="1" bestFit="1" customWidth="1"/>
    <col min="7684" max="7684" width="13" style="1" bestFit="1" customWidth="1"/>
    <col min="7685" max="7936" width="9" style="1"/>
    <col min="7937" max="7937" width="14" style="1" bestFit="1" customWidth="1"/>
    <col min="7938" max="7938" width="9" style="1"/>
    <col min="7939" max="7939" width="12.875" style="1" bestFit="1" customWidth="1"/>
    <col min="7940" max="7940" width="13" style="1" bestFit="1" customWidth="1"/>
    <col min="7941" max="8192" width="9" style="1"/>
    <col min="8193" max="8193" width="14" style="1" bestFit="1" customWidth="1"/>
    <col min="8194" max="8194" width="9" style="1"/>
    <col min="8195" max="8195" width="12.875" style="1" bestFit="1" customWidth="1"/>
    <col min="8196" max="8196" width="13" style="1" bestFit="1" customWidth="1"/>
    <col min="8197" max="8448" width="9" style="1"/>
    <col min="8449" max="8449" width="14" style="1" bestFit="1" customWidth="1"/>
    <col min="8450" max="8450" width="9" style="1"/>
    <col min="8451" max="8451" width="12.875" style="1" bestFit="1" customWidth="1"/>
    <col min="8452" max="8452" width="13" style="1" bestFit="1" customWidth="1"/>
    <col min="8453" max="8704" width="9" style="1"/>
    <col min="8705" max="8705" width="14" style="1" bestFit="1" customWidth="1"/>
    <col min="8706" max="8706" width="9" style="1"/>
    <col min="8707" max="8707" width="12.875" style="1" bestFit="1" customWidth="1"/>
    <col min="8708" max="8708" width="13" style="1" bestFit="1" customWidth="1"/>
    <col min="8709" max="8960" width="9" style="1"/>
    <col min="8961" max="8961" width="14" style="1" bestFit="1" customWidth="1"/>
    <col min="8962" max="8962" width="9" style="1"/>
    <col min="8963" max="8963" width="12.875" style="1" bestFit="1" customWidth="1"/>
    <col min="8964" max="8964" width="13" style="1" bestFit="1" customWidth="1"/>
    <col min="8965" max="9216" width="9" style="1"/>
    <col min="9217" max="9217" width="14" style="1" bestFit="1" customWidth="1"/>
    <col min="9218" max="9218" width="9" style="1"/>
    <col min="9219" max="9219" width="12.875" style="1" bestFit="1" customWidth="1"/>
    <col min="9220" max="9220" width="13" style="1" bestFit="1" customWidth="1"/>
    <col min="9221" max="9472" width="9" style="1"/>
    <col min="9473" max="9473" width="14" style="1" bestFit="1" customWidth="1"/>
    <col min="9474" max="9474" width="9" style="1"/>
    <col min="9475" max="9475" width="12.875" style="1" bestFit="1" customWidth="1"/>
    <col min="9476" max="9476" width="13" style="1" bestFit="1" customWidth="1"/>
    <col min="9477" max="9728" width="9" style="1"/>
    <col min="9729" max="9729" width="14" style="1" bestFit="1" customWidth="1"/>
    <col min="9730" max="9730" width="9" style="1"/>
    <col min="9731" max="9731" width="12.875" style="1" bestFit="1" customWidth="1"/>
    <col min="9732" max="9732" width="13" style="1" bestFit="1" customWidth="1"/>
    <col min="9733" max="9984" width="9" style="1"/>
    <col min="9985" max="9985" width="14" style="1" bestFit="1" customWidth="1"/>
    <col min="9986" max="9986" width="9" style="1"/>
    <col min="9987" max="9987" width="12.875" style="1" bestFit="1" customWidth="1"/>
    <col min="9988" max="9988" width="13" style="1" bestFit="1" customWidth="1"/>
    <col min="9989" max="10240" width="9" style="1"/>
    <col min="10241" max="10241" width="14" style="1" bestFit="1" customWidth="1"/>
    <col min="10242" max="10242" width="9" style="1"/>
    <col min="10243" max="10243" width="12.875" style="1" bestFit="1" customWidth="1"/>
    <col min="10244" max="10244" width="13" style="1" bestFit="1" customWidth="1"/>
    <col min="10245" max="10496" width="9" style="1"/>
    <col min="10497" max="10497" width="14" style="1" bestFit="1" customWidth="1"/>
    <col min="10498" max="10498" width="9" style="1"/>
    <col min="10499" max="10499" width="12.875" style="1" bestFit="1" customWidth="1"/>
    <col min="10500" max="10500" width="13" style="1" bestFit="1" customWidth="1"/>
    <col min="10501" max="10752" width="9" style="1"/>
    <col min="10753" max="10753" width="14" style="1" bestFit="1" customWidth="1"/>
    <col min="10754" max="10754" width="9" style="1"/>
    <col min="10755" max="10755" width="12.875" style="1" bestFit="1" customWidth="1"/>
    <col min="10756" max="10756" width="13" style="1" bestFit="1" customWidth="1"/>
    <col min="10757" max="11008" width="9" style="1"/>
    <col min="11009" max="11009" width="14" style="1" bestFit="1" customWidth="1"/>
    <col min="11010" max="11010" width="9" style="1"/>
    <col min="11011" max="11011" width="12.875" style="1" bestFit="1" customWidth="1"/>
    <col min="11012" max="11012" width="13" style="1" bestFit="1" customWidth="1"/>
    <col min="11013" max="11264" width="9" style="1"/>
    <col min="11265" max="11265" width="14" style="1" bestFit="1" customWidth="1"/>
    <col min="11266" max="11266" width="9" style="1"/>
    <col min="11267" max="11267" width="12.875" style="1" bestFit="1" customWidth="1"/>
    <col min="11268" max="11268" width="13" style="1" bestFit="1" customWidth="1"/>
    <col min="11269" max="11520" width="9" style="1"/>
    <col min="11521" max="11521" width="14" style="1" bestFit="1" customWidth="1"/>
    <col min="11522" max="11522" width="9" style="1"/>
    <col min="11523" max="11523" width="12.875" style="1" bestFit="1" customWidth="1"/>
    <col min="11524" max="11524" width="13" style="1" bestFit="1" customWidth="1"/>
    <col min="11525" max="11776" width="9" style="1"/>
    <col min="11777" max="11777" width="14" style="1" bestFit="1" customWidth="1"/>
    <col min="11778" max="11778" width="9" style="1"/>
    <col min="11779" max="11779" width="12.875" style="1" bestFit="1" customWidth="1"/>
    <col min="11780" max="11780" width="13" style="1" bestFit="1" customWidth="1"/>
    <col min="11781" max="12032" width="9" style="1"/>
    <col min="12033" max="12033" width="14" style="1" bestFit="1" customWidth="1"/>
    <col min="12034" max="12034" width="9" style="1"/>
    <col min="12035" max="12035" width="12.875" style="1" bestFit="1" customWidth="1"/>
    <col min="12036" max="12036" width="13" style="1" bestFit="1" customWidth="1"/>
    <col min="12037" max="12288" width="9" style="1"/>
    <col min="12289" max="12289" width="14" style="1" bestFit="1" customWidth="1"/>
    <col min="12290" max="12290" width="9" style="1"/>
    <col min="12291" max="12291" width="12.875" style="1" bestFit="1" customWidth="1"/>
    <col min="12292" max="12292" width="13" style="1" bestFit="1" customWidth="1"/>
    <col min="12293" max="12544" width="9" style="1"/>
    <col min="12545" max="12545" width="14" style="1" bestFit="1" customWidth="1"/>
    <col min="12546" max="12546" width="9" style="1"/>
    <col min="12547" max="12547" width="12.875" style="1" bestFit="1" customWidth="1"/>
    <col min="12548" max="12548" width="13" style="1" bestFit="1" customWidth="1"/>
    <col min="12549" max="12800" width="9" style="1"/>
    <col min="12801" max="12801" width="14" style="1" bestFit="1" customWidth="1"/>
    <col min="12802" max="12802" width="9" style="1"/>
    <col min="12803" max="12803" width="12.875" style="1" bestFit="1" customWidth="1"/>
    <col min="12804" max="12804" width="13" style="1" bestFit="1" customWidth="1"/>
    <col min="12805" max="13056" width="9" style="1"/>
    <col min="13057" max="13057" width="14" style="1" bestFit="1" customWidth="1"/>
    <col min="13058" max="13058" width="9" style="1"/>
    <col min="13059" max="13059" width="12.875" style="1" bestFit="1" customWidth="1"/>
    <col min="13060" max="13060" width="13" style="1" bestFit="1" customWidth="1"/>
    <col min="13061" max="13312" width="9" style="1"/>
    <col min="13313" max="13313" width="14" style="1" bestFit="1" customWidth="1"/>
    <col min="13314" max="13314" width="9" style="1"/>
    <col min="13315" max="13315" width="12.875" style="1" bestFit="1" customWidth="1"/>
    <col min="13316" max="13316" width="13" style="1" bestFit="1" customWidth="1"/>
    <col min="13317" max="13568" width="9" style="1"/>
    <col min="13569" max="13569" width="14" style="1" bestFit="1" customWidth="1"/>
    <col min="13570" max="13570" width="9" style="1"/>
    <col min="13571" max="13571" width="12.875" style="1" bestFit="1" customWidth="1"/>
    <col min="13572" max="13572" width="13" style="1" bestFit="1" customWidth="1"/>
    <col min="13573" max="13824" width="9" style="1"/>
    <col min="13825" max="13825" width="14" style="1" bestFit="1" customWidth="1"/>
    <col min="13826" max="13826" width="9" style="1"/>
    <col min="13827" max="13827" width="12.875" style="1" bestFit="1" customWidth="1"/>
    <col min="13828" max="13828" width="13" style="1" bestFit="1" customWidth="1"/>
    <col min="13829" max="14080" width="9" style="1"/>
    <col min="14081" max="14081" width="14" style="1" bestFit="1" customWidth="1"/>
    <col min="14082" max="14082" width="9" style="1"/>
    <col min="14083" max="14083" width="12.875" style="1" bestFit="1" customWidth="1"/>
    <col min="14084" max="14084" width="13" style="1" bestFit="1" customWidth="1"/>
    <col min="14085" max="14336" width="9" style="1"/>
    <col min="14337" max="14337" width="14" style="1" bestFit="1" customWidth="1"/>
    <col min="14338" max="14338" width="9" style="1"/>
    <col min="14339" max="14339" width="12.875" style="1" bestFit="1" customWidth="1"/>
    <col min="14340" max="14340" width="13" style="1" bestFit="1" customWidth="1"/>
    <col min="14341" max="14592" width="9" style="1"/>
    <col min="14593" max="14593" width="14" style="1" bestFit="1" customWidth="1"/>
    <col min="14594" max="14594" width="9" style="1"/>
    <col min="14595" max="14595" width="12.875" style="1" bestFit="1" customWidth="1"/>
    <col min="14596" max="14596" width="13" style="1" bestFit="1" customWidth="1"/>
    <col min="14597" max="14848" width="9" style="1"/>
    <col min="14849" max="14849" width="14" style="1" bestFit="1" customWidth="1"/>
    <col min="14850" max="14850" width="9" style="1"/>
    <col min="14851" max="14851" width="12.875" style="1" bestFit="1" customWidth="1"/>
    <col min="14852" max="14852" width="13" style="1" bestFit="1" customWidth="1"/>
    <col min="14853" max="15104" width="9" style="1"/>
    <col min="15105" max="15105" width="14" style="1" bestFit="1" customWidth="1"/>
    <col min="15106" max="15106" width="9" style="1"/>
    <col min="15107" max="15107" width="12.875" style="1" bestFit="1" customWidth="1"/>
    <col min="15108" max="15108" width="13" style="1" bestFit="1" customWidth="1"/>
    <col min="15109" max="15360" width="9" style="1"/>
    <col min="15361" max="15361" width="14" style="1" bestFit="1" customWidth="1"/>
    <col min="15362" max="15362" width="9" style="1"/>
    <col min="15363" max="15363" width="12.875" style="1" bestFit="1" customWidth="1"/>
    <col min="15364" max="15364" width="13" style="1" bestFit="1" customWidth="1"/>
    <col min="15365" max="15616" width="9" style="1"/>
    <col min="15617" max="15617" width="14" style="1" bestFit="1" customWidth="1"/>
    <col min="15618" max="15618" width="9" style="1"/>
    <col min="15619" max="15619" width="12.875" style="1" bestFit="1" customWidth="1"/>
    <col min="15620" max="15620" width="13" style="1" bestFit="1" customWidth="1"/>
    <col min="15621" max="15872" width="9" style="1"/>
    <col min="15873" max="15873" width="14" style="1" bestFit="1" customWidth="1"/>
    <col min="15874" max="15874" width="9" style="1"/>
    <col min="15875" max="15875" width="12.875" style="1" bestFit="1" customWidth="1"/>
    <col min="15876" max="15876" width="13" style="1" bestFit="1" customWidth="1"/>
    <col min="15877" max="16128" width="9" style="1"/>
    <col min="16129" max="16129" width="14" style="1" bestFit="1" customWidth="1"/>
    <col min="16130" max="16130" width="9" style="1"/>
    <col min="16131" max="16131" width="12.875" style="1" bestFit="1" customWidth="1"/>
    <col min="16132" max="16132" width="13" style="1" bestFit="1" customWidth="1"/>
    <col min="16133" max="16384" width="9" style="1"/>
  </cols>
  <sheetData>
    <row r="1" spans="1:7" ht="20.25">
      <c r="A1" s="21" t="s">
        <v>69</v>
      </c>
      <c r="B1" s="21"/>
      <c r="C1" s="21"/>
      <c r="D1" s="21"/>
      <c r="E1" s="21"/>
      <c r="F1" s="21"/>
      <c r="G1" s="21"/>
    </row>
    <row r="3" spans="1:7">
      <c r="A3" s="16" t="s">
        <v>23</v>
      </c>
      <c r="B3" s="16" t="s">
        <v>24</v>
      </c>
      <c r="C3" s="16" t="s">
        <v>70</v>
      </c>
      <c r="D3" s="16" t="s">
        <v>25</v>
      </c>
      <c r="E3" s="16" t="s">
        <v>26</v>
      </c>
      <c r="F3" s="16" t="s">
        <v>27</v>
      </c>
      <c r="G3" s="16" t="s">
        <v>28</v>
      </c>
    </row>
    <row r="4" spans="1:7">
      <c r="A4" s="16" t="s">
        <v>29</v>
      </c>
      <c r="B4" s="16" t="s">
        <v>30</v>
      </c>
      <c r="C4" s="17">
        <v>29393</v>
      </c>
      <c r="D4" s="18">
        <v>950000</v>
      </c>
      <c r="E4" s="16">
        <v>20</v>
      </c>
      <c r="F4" s="16">
        <v>190</v>
      </c>
      <c r="G4" s="16">
        <v>80</v>
      </c>
    </row>
    <row r="5" spans="1:7">
      <c r="A5" s="16" t="s">
        <v>31</v>
      </c>
      <c r="B5" s="16" t="s">
        <v>32</v>
      </c>
      <c r="C5" s="17">
        <v>30286</v>
      </c>
      <c r="D5" s="18">
        <v>950000</v>
      </c>
      <c r="E5" s="16">
        <v>45</v>
      </c>
      <c r="F5" s="16">
        <v>190</v>
      </c>
      <c r="G5" s="16">
        <v>70</v>
      </c>
    </row>
    <row r="6" spans="1:7">
      <c r="A6" s="16" t="s">
        <v>33</v>
      </c>
      <c r="B6" s="16" t="s">
        <v>34</v>
      </c>
      <c r="C6" s="17">
        <v>28631</v>
      </c>
      <c r="D6" s="18">
        <v>1300000</v>
      </c>
      <c r="E6" s="16">
        <v>60</v>
      </c>
      <c r="F6" s="16">
        <v>260</v>
      </c>
      <c r="G6" s="16">
        <v>50</v>
      </c>
    </row>
    <row r="7" spans="1:7">
      <c r="A7" s="16" t="s">
        <v>35</v>
      </c>
      <c r="B7" s="16" t="s">
        <v>36</v>
      </c>
      <c r="C7" s="17">
        <v>31131</v>
      </c>
      <c r="D7" s="18">
        <v>900000</v>
      </c>
      <c r="E7" s="16">
        <v>50</v>
      </c>
      <c r="F7" s="16">
        <v>180</v>
      </c>
      <c r="G7" s="16">
        <v>65</v>
      </c>
    </row>
    <row r="8" spans="1:7">
      <c r="A8" s="16" t="s">
        <v>37</v>
      </c>
      <c r="B8" s="16" t="s">
        <v>38</v>
      </c>
      <c r="C8" s="17">
        <v>27885</v>
      </c>
      <c r="D8" s="18">
        <v>775000</v>
      </c>
      <c r="E8" s="16">
        <v>43</v>
      </c>
      <c r="F8" s="16">
        <v>155</v>
      </c>
      <c r="G8" s="16">
        <v>85</v>
      </c>
    </row>
    <row r="9" spans="1:7">
      <c r="A9" s="16" t="s">
        <v>39</v>
      </c>
      <c r="B9" s="16" t="s">
        <v>40</v>
      </c>
      <c r="C9" s="17">
        <v>32034</v>
      </c>
      <c r="D9" s="18">
        <v>755000</v>
      </c>
      <c r="E9" s="16">
        <v>35</v>
      </c>
      <c r="F9" s="16">
        <v>151</v>
      </c>
      <c r="G9" s="16">
        <v>75</v>
      </c>
    </row>
    <row r="10" spans="1:7">
      <c r="A10" s="16" t="s">
        <v>41</v>
      </c>
      <c r="B10" s="16" t="s">
        <v>42</v>
      </c>
      <c r="C10" s="17">
        <v>29731</v>
      </c>
      <c r="D10" s="18">
        <v>805000</v>
      </c>
      <c r="E10" s="16">
        <v>25</v>
      </c>
      <c r="F10" s="16">
        <v>161</v>
      </c>
      <c r="G10" s="16">
        <v>25</v>
      </c>
    </row>
    <row r="11" spans="1:7">
      <c r="A11" s="16" t="s">
        <v>43</v>
      </c>
      <c r="B11" s="16" t="s">
        <v>44</v>
      </c>
      <c r="C11" s="17">
        <v>32281</v>
      </c>
      <c r="D11" s="18">
        <v>500000</v>
      </c>
      <c r="E11" s="16">
        <v>30</v>
      </c>
      <c r="F11" s="16">
        <v>100</v>
      </c>
      <c r="G11" s="16">
        <v>35</v>
      </c>
    </row>
    <row r="12" spans="1:7">
      <c r="A12" s="16" t="s">
        <v>45</v>
      </c>
      <c r="B12" s="16" t="s">
        <v>46</v>
      </c>
      <c r="C12" s="17">
        <v>30157</v>
      </c>
      <c r="D12" s="18">
        <v>1250000</v>
      </c>
      <c r="E12" s="16">
        <v>40</v>
      </c>
      <c r="F12" s="16">
        <v>250</v>
      </c>
      <c r="G12" s="16">
        <v>85</v>
      </c>
    </row>
    <row r="13" spans="1:7">
      <c r="A13" s="16" t="s">
        <v>47</v>
      </c>
      <c r="B13" s="16" t="s">
        <v>48</v>
      </c>
      <c r="C13" s="17">
        <v>29310</v>
      </c>
      <c r="D13" s="18">
        <v>1000000</v>
      </c>
      <c r="E13" s="16">
        <v>45</v>
      </c>
      <c r="F13" s="16">
        <v>200</v>
      </c>
      <c r="G13" s="16">
        <v>98</v>
      </c>
    </row>
  </sheetData>
  <mergeCells count="1">
    <mergeCell ref="A1:G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4</vt:i4>
      </vt:variant>
    </vt:vector>
  </HeadingPairs>
  <TitlesOfParts>
    <vt:vector size="8" baseType="lpstr">
      <vt:lpstr>무작정따라하기</vt:lpstr>
      <vt:lpstr>무작정따라하기2</vt:lpstr>
      <vt:lpstr>기출01</vt:lpstr>
      <vt:lpstr>기출02</vt:lpstr>
      <vt:lpstr>기출01!Criteria</vt:lpstr>
      <vt:lpstr>무작정따라하기2!Criteria</vt:lpstr>
      <vt:lpstr>기출01!Extract</vt:lpstr>
      <vt:lpstr>무작정따라하기2!Extract</vt:lpstr>
    </vt:vector>
  </TitlesOfParts>
  <Company>길벗R&amp;D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User</cp:lastModifiedBy>
  <dcterms:created xsi:type="dcterms:W3CDTF">2011-06-14T09:16:22Z</dcterms:created>
  <dcterms:modified xsi:type="dcterms:W3CDTF">2018-10-04T07:24:25Z</dcterms:modified>
</cp:coreProperties>
</file>