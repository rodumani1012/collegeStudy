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22\Downloads\"/>
    </mc:Choice>
  </mc:AlternateContent>
  <bookViews>
    <workbookView xWindow="0" yWindow="0" windowWidth="21600" windowHeight="9690"/>
  </bookViews>
  <sheets>
    <sheet name="무작정따라하기" sheetId="4" r:id="rId1"/>
  </sheets>
  <calcPr calcId="152511"/>
</workbook>
</file>

<file path=xl/calcChain.xml><?xml version="1.0" encoding="utf-8"?>
<calcChain xmlns="http://schemas.openxmlformats.org/spreadsheetml/2006/main">
  <c r="F20" i="4" l="1"/>
  <c r="E21" i="4"/>
  <c r="E22" i="4"/>
  <c r="E23" i="4"/>
  <c r="E24" i="4"/>
  <c r="E20" i="4"/>
  <c r="D23" i="4"/>
  <c r="D24" i="4"/>
  <c r="D22" i="4"/>
  <c r="D20" i="4"/>
  <c r="D21" i="4"/>
  <c r="G15" i="4" l="1"/>
  <c r="D15" i="4"/>
  <c r="A15" i="4"/>
  <c r="I5" i="4"/>
  <c r="I6" i="4"/>
  <c r="I7" i="4"/>
  <c r="I8" i="4"/>
  <c r="I9" i="4"/>
  <c r="I10" i="4"/>
  <c r="I11" i="4"/>
  <c r="I4" i="4"/>
  <c r="J3" i="4"/>
  <c r="J2" i="4"/>
  <c r="J1" i="4"/>
  <c r="F12" i="4" l="1"/>
  <c r="E12" i="4"/>
  <c r="O2" i="4"/>
  <c r="L7" i="4"/>
  <c r="L6" i="4"/>
  <c r="L5" i="4"/>
  <c r="K12" i="4"/>
  <c r="K11" i="4"/>
  <c r="K10" i="4"/>
  <c r="K8" i="4"/>
  <c r="K9" i="4"/>
  <c r="K7" i="4"/>
  <c r="K6" i="4"/>
  <c r="K5" i="4"/>
  <c r="G11" i="4" l="1"/>
  <c r="G10" i="4"/>
  <c r="G9" i="4"/>
  <c r="G8" i="4"/>
  <c r="H8" i="4" s="1"/>
  <c r="G7" i="4"/>
  <c r="G6" i="4"/>
  <c r="H6" i="4" s="1"/>
  <c r="G5" i="4"/>
  <c r="G4" i="4"/>
  <c r="G12" i="4" l="1"/>
  <c r="H4" i="4"/>
  <c r="H5" i="4"/>
  <c r="H9" i="4"/>
  <c r="H10" i="4"/>
  <c r="H7" i="4"/>
  <c r="H11" i="4"/>
</calcChain>
</file>

<file path=xl/sharedStrings.xml><?xml version="1.0" encoding="utf-8"?>
<sst xmlns="http://schemas.openxmlformats.org/spreadsheetml/2006/main" count="65" uniqueCount="61">
  <si>
    <t>[표1] 학원 관리</t>
    <phoneticPr fontId="3" type="noConversion"/>
  </si>
  <si>
    <t>번호</t>
    <phoneticPr fontId="3" type="noConversion"/>
  </si>
  <si>
    <t>성명</t>
    <phoneticPr fontId="3" type="noConversion"/>
  </si>
  <si>
    <t>주민등록번호</t>
    <phoneticPr fontId="3" type="noConversion"/>
  </si>
  <si>
    <t>수업료</t>
    <phoneticPr fontId="3" type="noConversion"/>
  </si>
  <si>
    <t>중간</t>
    <phoneticPr fontId="3" type="noConversion"/>
  </si>
  <si>
    <t>기말</t>
    <phoneticPr fontId="3" type="noConversion"/>
  </si>
  <si>
    <t>평균</t>
    <phoneticPr fontId="3" type="noConversion"/>
  </si>
  <si>
    <t>순위</t>
    <phoneticPr fontId="3" type="noConversion"/>
  </si>
  <si>
    <t>나이</t>
    <phoneticPr fontId="3" type="noConversion"/>
  </si>
  <si>
    <t>04101</t>
    <phoneticPr fontId="3" type="noConversion"/>
  </si>
  <si>
    <t>김미연</t>
    <phoneticPr fontId="3" type="noConversion"/>
  </si>
  <si>
    <t>980312-1178483</t>
    <phoneticPr fontId="3" type="noConversion"/>
  </si>
  <si>
    <t>04102</t>
  </si>
  <si>
    <t>원동철</t>
    <phoneticPr fontId="3" type="noConversion"/>
  </si>
  <si>
    <t>971015-2113264</t>
    <phoneticPr fontId="3" type="noConversion"/>
  </si>
  <si>
    <t>납부</t>
    <phoneticPr fontId="3" type="noConversion"/>
  </si>
  <si>
    <t>04103</t>
  </si>
  <si>
    <t>이지함</t>
    <phoneticPr fontId="3" type="noConversion"/>
  </si>
  <si>
    <t>04104</t>
  </si>
  <si>
    <t>한두리</t>
    <phoneticPr fontId="3" type="noConversion"/>
  </si>
  <si>
    <t>961101-4421327</t>
    <phoneticPr fontId="3" type="noConversion"/>
  </si>
  <si>
    <t>04105</t>
  </si>
  <si>
    <t>신민영</t>
    <phoneticPr fontId="3" type="noConversion"/>
  </si>
  <si>
    <t>04106</t>
  </si>
  <si>
    <t>구찬우</t>
    <phoneticPr fontId="3" type="noConversion"/>
  </si>
  <si>
    <t>960411-1425617</t>
    <phoneticPr fontId="3" type="noConversion"/>
  </si>
  <si>
    <t>04107</t>
  </si>
  <si>
    <t>장철우</t>
    <phoneticPr fontId="3" type="noConversion"/>
  </si>
  <si>
    <t>981224-2368574</t>
    <phoneticPr fontId="3" type="noConversion"/>
  </si>
  <si>
    <t>04108</t>
  </si>
  <si>
    <t>김인애</t>
    <phoneticPr fontId="3" type="noConversion"/>
  </si>
  <si>
    <t>990729-1162554</t>
    <phoneticPr fontId="3" type="noConversion"/>
  </si>
  <si>
    <t>가장 큰 값과 두번째로 큰 값의 차이값</t>
    <phoneticPr fontId="3" type="noConversion"/>
  </si>
  <si>
    <t>수업료 미납자수</t>
    <phoneticPr fontId="3" type="noConversion"/>
  </si>
  <si>
    <t>기말 : 90이상인 학생수</t>
    <phoneticPr fontId="3" type="noConversion"/>
  </si>
  <si>
    <t>평균 : 80점대 학생수</t>
    <phoneticPr fontId="3" type="noConversion"/>
  </si>
  <si>
    <t>[표2] 세계 클럽컵 축구대회</t>
    <phoneticPr fontId="3" type="noConversion"/>
  </si>
  <si>
    <t>팀명</t>
    <phoneticPr fontId="3" type="noConversion"/>
  </si>
  <si>
    <t>국가</t>
    <phoneticPr fontId="3" type="noConversion"/>
  </si>
  <si>
    <t>팀명2</t>
    <phoneticPr fontId="3" type="noConversion"/>
  </si>
  <si>
    <t>국가2</t>
    <phoneticPr fontId="3" type="noConversion"/>
  </si>
  <si>
    <t>1</t>
    <phoneticPr fontId="3" type="noConversion"/>
  </si>
  <si>
    <t>2</t>
  </si>
  <si>
    <t xml:space="preserve"> chelsy </t>
    <phoneticPr fontId="3" type="noConversion"/>
  </si>
  <si>
    <t>england</t>
    <phoneticPr fontId="3" type="noConversion"/>
  </si>
  <si>
    <t>3</t>
  </si>
  <si>
    <t xml:space="preserve"> roma </t>
    <phoneticPr fontId="3" type="noConversion"/>
  </si>
  <si>
    <t>italy</t>
    <phoneticPr fontId="3" type="noConversion"/>
  </si>
  <si>
    <t>4</t>
  </si>
  <si>
    <t xml:space="preserve"> hoven </t>
    <phoneticPr fontId="3" type="noConversion"/>
  </si>
  <si>
    <t>netherlands</t>
    <phoneticPr fontId="3" type="noConversion"/>
  </si>
  <si>
    <t>5</t>
  </si>
  <si>
    <t xml:space="preserve"> isac </t>
    <phoneticPr fontId="3" type="noConversion"/>
  </si>
  <si>
    <t>france</t>
    <phoneticPr fontId="3" type="noConversion"/>
  </si>
  <si>
    <t>950220-3234121</t>
    <phoneticPr fontId="3" type="noConversion"/>
  </si>
  <si>
    <t>971202-4234122</t>
    <phoneticPr fontId="3" type="noConversion"/>
  </si>
  <si>
    <t>count</t>
    <phoneticPr fontId="2" type="noConversion"/>
  </si>
  <si>
    <t>asdf</t>
    <phoneticPr fontId="2" type="noConversion"/>
  </si>
  <si>
    <t>korea</t>
    <phoneticPr fontId="3" type="noConversion"/>
  </si>
  <si>
    <t>SuSu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</si>
</sst>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2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0" fontId="1" fillId="0" borderId="0"/>
  </cellStyleXfs>
  <cellXfs count="26">
    <xf numFmtId="0" fontId="0" fillId="0" borderId="0" xfId="0">
      <alignment vertical="center"/>
    </xf>
    <xf numFmtId="0" fontId="5" fillId="0" borderId="0" xfId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49" fontId="5" fillId="0" borderId="2" xfId="1" applyNumberFormat="1" applyFont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4" fillId="0" borderId="0" xfId="1" applyFont="1"/>
    <xf numFmtId="0" fontId="5" fillId="0" borderId="0" xfId="1" applyFont="1"/>
    <xf numFmtId="0" fontId="5" fillId="0" borderId="2" xfId="1" applyFont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49" fontId="5" fillId="0" borderId="2" xfId="1" applyNumberFormat="1" applyFont="1" applyBorder="1" applyAlignment="1">
      <alignment horizontal="center"/>
    </xf>
    <xf numFmtId="0" fontId="5" fillId="0" borderId="2" xfId="1" applyFont="1" applyFill="1" applyBorder="1" applyAlignment="1">
      <alignment horizont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4" fillId="0" borderId="0" xfId="1" applyFont="1" applyBorder="1" applyAlignment="1">
      <alignment vertical="center"/>
    </xf>
    <xf numFmtId="49" fontId="5" fillId="2" borderId="2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tabSelected="1" topLeftCell="A4" zoomScaleNormal="100" workbookViewId="0">
      <selection activeCell="B21" sqref="B21"/>
    </sheetView>
  </sheetViews>
  <sheetFormatPr defaultRowHeight="16.5"/>
  <cols>
    <col min="1" max="1" width="9.75" style="1" customWidth="1"/>
    <col min="2" max="2" width="9.375" style="1" customWidth="1"/>
    <col min="3" max="3" width="18" style="1" customWidth="1"/>
    <col min="4" max="4" width="9.375" style="1" bestFit="1" customWidth="1"/>
    <col min="5" max="5" width="10.875" style="1" customWidth="1"/>
    <col min="6" max="6" width="8.375" style="1" customWidth="1"/>
    <col min="7" max="7" width="8.75" style="1" customWidth="1"/>
    <col min="8" max="8" width="10.25" style="1" customWidth="1"/>
    <col min="9" max="9" width="8" style="1" customWidth="1"/>
    <col min="10" max="16384" width="9" style="1"/>
  </cols>
  <sheetData>
    <row r="1" spans="1:15" ht="15.75" customHeight="1">
      <c r="A1" s="21" t="s">
        <v>0</v>
      </c>
      <c r="B1" s="21"/>
      <c r="C1" s="21"/>
      <c r="D1" s="21"/>
      <c r="E1" s="21"/>
      <c r="F1" s="21"/>
      <c r="G1" s="21"/>
      <c r="H1" s="21"/>
      <c r="J1" s="1" t="str">
        <f>"가"&amp;"나"</f>
        <v>가나</v>
      </c>
      <c r="K1" s="1">
        <v>1</v>
      </c>
      <c r="O1" s="1" t="s">
        <v>57</v>
      </c>
    </row>
    <row r="2" spans="1:15">
      <c r="A2" s="2"/>
      <c r="B2" s="2"/>
      <c r="C2" s="2"/>
      <c r="D2" s="2"/>
      <c r="E2" s="2"/>
      <c r="F2" s="2"/>
      <c r="G2" s="2"/>
      <c r="H2" s="2"/>
      <c r="J2" s="1" t="str">
        <f>1&amp;"위"</f>
        <v>1위</v>
      </c>
      <c r="K2" s="1" t="s">
        <v>58</v>
      </c>
      <c r="O2" s="1" t="str">
        <f>MID(O1,2,2)</f>
        <v>ou</v>
      </c>
    </row>
    <row r="3" spans="1:1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4" t="s">
        <v>7</v>
      </c>
      <c r="H3" s="5" t="s">
        <v>8</v>
      </c>
      <c r="I3" s="5" t="s">
        <v>9</v>
      </c>
      <c r="J3" s="1" t="str">
        <f>K1&amp;K2</f>
        <v>1asdf</v>
      </c>
      <c r="K3" s="1">
        <v>2</v>
      </c>
    </row>
    <row r="4" spans="1:15">
      <c r="A4" s="6" t="s">
        <v>10</v>
      </c>
      <c r="B4" s="3" t="s">
        <v>11</v>
      </c>
      <c r="C4" s="3" t="s">
        <v>12</v>
      </c>
      <c r="D4" s="3"/>
      <c r="E4" s="3">
        <v>68</v>
      </c>
      <c r="F4" s="3">
        <v>87</v>
      </c>
      <c r="G4" s="3">
        <f>AVERAGE(E4:F4)</f>
        <v>77.5</v>
      </c>
      <c r="H4" s="3">
        <f>RANK(G4,$G$4:$G$11,0)</f>
        <v>5</v>
      </c>
      <c r="I4" s="3">
        <f>2018-(19&amp;LEFT(C4,2))+1</f>
        <v>21</v>
      </c>
    </row>
    <row r="5" spans="1:15">
      <c r="A5" s="6" t="s">
        <v>13</v>
      </c>
      <c r="B5" s="3" t="s">
        <v>14</v>
      </c>
      <c r="C5" s="3" t="s">
        <v>15</v>
      </c>
      <c r="D5" s="3" t="s">
        <v>16</v>
      </c>
      <c r="E5" s="3">
        <v>88</v>
      </c>
      <c r="F5" s="3">
        <v>90</v>
      </c>
      <c r="G5" s="3">
        <f t="shared" ref="G5:G11" si="0">AVERAGE(E5:F5)</f>
        <v>89</v>
      </c>
      <c r="H5" s="16">
        <f t="shared" ref="H5:H11" si="1">RANK(G5,$G$4:$G$11,0)</f>
        <v>2</v>
      </c>
      <c r="I5" s="17">
        <f t="shared" ref="I5:I11" si="2">2018-(19&amp;LEFT(C5,2))+1</f>
        <v>22</v>
      </c>
      <c r="K5" s="1">
        <f>COUNT(K1:K3)</f>
        <v>2</v>
      </c>
      <c r="L5" s="1" t="str">
        <f>LEFT("abcd",2)</f>
        <v>ab</v>
      </c>
    </row>
    <row r="6" spans="1:15">
      <c r="A6" s="6" t="s">
        <v>17</v>
      </c>
      <c r="B6" s="3" t="s">
        <v>18</v>
      </c>
      <c r="C6" s="14" t="s">
        <v>55</v>
      </c>
      <c r="D6" s="3" t="s">
        <v>16</v>
      </c>
      <c r="E6" s="3">
        <v>75</v>
      </c>
      <c r="F6" s="3">
        <v>92</v>
      </c>
      <c r="G6" s="3">
        <f t="shared" si="0"/>
        <v>83.5</v>
      </c>
      <c r="H6" s="16">
        <f t="shared" si="1"/>
        <v>3</v>
      </c>
      <c r="I6" s="17">
        <f t="shared" si="2"/>
        <v>24</v>
      </c>
      <c r="K6" s="1">
        <f>COUNTBLANK(K1:K3)</f>
        <v>0</v>
      </c>
      <c r="L6" s="1" t="str">
        <f>RIGHT("abcd", 2)</f>
        <v>cd</v>
      </c>
    </row>
    <row r="7" spans="1:15">
      <c r="A7" s="6" t="s">
        <v>19</v>
      </c>
      <c r="B7" s="3" t="s">
        <v>20</v>
      </c>
      <c r="C7" s="3" t="s">
        <v>21</v>
      </c>
      <c r="D7" s="3"/>
      <c r="E7" s="3">
        <v>88</v>
      </c>
      <c r="F7" s="3">
        <v>98</v>
      </c>
      <c r="G7" s="3">
        <f t="shared" si="0"/>
        <v>93</v>
      </c>
      <c r="H7" s="16">
        <f t="shared" si="1"/>
        <v>1</v>
      </c>
      <c r="I7" s="17">
        <f t="shared" si="2"/>
        <v>23</v>
      </c>
      <c r="K7" s="1">
        <f>COUNTA(K1:K3)</f>
        <v>3</v>
      </c>
      <c r="L7" s="1" t="str">
        <f>MID("abcde",2,3)</f>
        <v>bcd</v>
      </c>
    </row>
    <row r="8" spans="1:15">
      <c r="A8" s="6" t="s">
        <v>22</v>
      </c>
      <c r="B8" s="3" t="s">
        <v>23</v>
      </c>
      <c r="C8" s="14" t="s">
        <v>56</v>
      </c>
      <c r="D8" s="3" t="s">
        <v>16</v>
      </c>
      <c r="E8" s="3">
        <v>88</v>
      </c>
      <c r="F8" s="3">
        <v>60</v>
      </c>
      <c r="G8" s="3">
        <f t="shared" si="0"/>
        <v>74</v>
      </c>
      <c r="H8" s="16">
        <f t="shared" si="1"/>
        <v>6</v>
      </c>
      <c r="I8" s="17">
        <f t="shared" si="2"/>
        <v>22</v>
      </c>
      <c r="K8" s="1">
        <f>ROUND(1234, -2)</f>
        <v>1200</v>
      </c>
    </row>
    <row r="9" spans="1:15">
      <c r="A9" s="6" t="s">
        <v>24</v>
      </c>
      <c r="B9" s="4" t="s">
        <v>25</v>
      </c>
      <c r="C9" s="4" t="s">
        <v>26</v>
      </c>
      <c r="D9" s="3" t="s">
        <v>16</v>
      </c>
      <c r="E9" s="3">
        <v>90</v>
      </c>
      <c r="F9" s="3">
        <v>77</v>
      </c>
      <c r="G9" s="3">
        <f t="shared" si="0"/>
        <v>83.5</v>
      </c>
      <c r="H9" s="16">
        <f t="shared" si="1"/>
        <v>3</v>
      </c>
      <c r="I9" s="17">
        <f t="shared" si="2"/>
        <v>23</v>
      </c>
      <c r="K9" s="1">
        <f>ROUND(2.149,1)</f>
        <v>2.1</v>
      </c>
    </row>
    <row r="10" spans="1:15">
      <c r="A10" s="6" t="s">
        <v>27</v>
      </c>
      <c r="B10" s="4" t="s">
        <v>28</v>
      </c>
      <c r="C10" s="4" t="s">
        <v>29</v>
      </c>
      <c r="D10" s="3"/>
      <c r="E10" s="3">
        <v>58</v>
      </c>
      <c r="F10" s="3">
        <v>45</v>
      </c>
      <c r="G10" s="3">
        <f t="shared" si="0"/>
        <v>51.5</v>
      </c>
      <c r="H10" s="16">
        <f t="shared" si="1"/>
        <v>8</v>
      </c>
      <c r="I10" s="17">
        <f t="shared" si="2"/>
        <v>21</v>
      </c>
      <c r="K10" s="1">
        <f>ROUND(2.159,1)</f>
        <v>2.2000000000000002</v>
      </c>
    </row>
    <row r="11" spans="1:15">
      <c r="A11" s="6" t="s">
        <v>30</v>
      </c>
      <c r="B11" s="4" t="s">
        <v>31</v>
      </c>
      <c r="C11" s="4" t="s">
        <v>32</v>
      </c>
      <c r="D11" s="3"/>
      <c r="E11" s="4">
        <v>55</v>
      </c>
      <c r="F11" s="4">
        <v>89</v>
      </c>
      <c r="G11" s="3">
        <f t="shared" si="0"/>
        <v>72</v>
      </c>
      <c r="H11" s="16">
        <f t="shared" si="1"/>
        <v>7</v>
      </c>
      <c r="I11" s="17">
        <f t="shared" si="2"/>
        <v>20</v>
      </c>
      <c r="K11" s="1">
        <f>ROUNDUP(2.149, 1)</f>
        <v>2.2000000000000002</v>
      </c>
    </row>
    <row r="12" spans="1:15">
      <c r="A12" s="22" t="s">
        <v>33</v>
      </c>
      <c r="B12" s="22"/>
      <c r="C12" s="22"/>
      <c r="D12" s="22"/>
      <c r="E12" s="4">
        <f>MAX(E4:E11)-LARGE(E4:E11,2)</f>
        <v>2</v>
      </c>
      <c r="F12" s="15">
        <f t="shared" ref="F12:G12" si="3">MAX(F4:F11)-LARGE(F4:F11,2)</f>
        <v>6</v>
      </c>
      <c r="G12" s="15">
        <f t="shared" si="3"/>
        <v>4</v>
      </c>
      <c r="H12" s="23"/>
      <c r="I12" s="24"/>
      <c r="K12" s="1">
        <f>ROUNDDOWN(2.159,1)</f>
        <v>2.1</v>
      </c>
    </row>
    <row r="14" spans="1:15">
      <c r="A14" s="25" t="s">
        <v>34</v>
      </c>
      <c r="B14" s="25"/>
      <c r="C14" s="7"/>
      <c r="D14" s="25" t="s">
        <v>35</v>
      </c>
      <c r="E14" s="25"/>
      <c r="F14" s="7"/>
      <c r="G14" s="25" t="s">
        <v>36</v>
      </c>
      <c r="H14" s="25"/>
    </row>
    <row r="15" spans="1:15">
      <c r="A15" s="19" t="str">
        <f>COUNTBLANK(D4:D11)&amp;"명"</f>
        <v>4명</v>
      </c>
      <c r="B15" s="19"/>
      <c r="C15" s="7"/>
      <c r="D15" s="20">
        <f>COUNTIF(F4:F11,"&gt;=90")</f>
        <v>3</v>
      </c>
      <c r="E15" s="20"/>
      <c r="F15" s="7"/>
      <c r="G15" s="20">
        <f>COUNTIF(G4:G11,"&gt;=80")-COUNTIF(G4:G11,"&gt;=90")</f>
        <v>3</v>
      </c>
      <c r="H15" s="20"/>
    </row>
    <row r="16" spans="1:15">
      <c r="F16" s="7"/>
    </row>
    <row r="18" spans="1:6" ht="17.25">
      <c r="A18" s="8" t="s">
        <v>37</v>
      </c>
      <c r="B18" s="9"/>
      <c r="C18" s="9"/>
      <c r="D18" s="9"/>
      <c r="E18" s="9"/>
    </row>
    <row r="19" spans="1:6">
      <c r="A19" s="10" t="s">
        <v>8</v>
      </c>
      <c r="B19" s="10" t="s">
        <v>38</v>
      </c>
      <c r="C19" s="10" t="s">
        <v>39</v>
      </c>
      <c r="D19" s="11" t="s">
        <v>40</v>
      </c>
      <c r="E19" s="5" t="s">
        <v>41</v>
      </c>
    </row>
    <row r="20" spans="1:6">
      <c r="A20" s="12" t="s">
        <v>42</v>
      </c>
      <c r="B20" s="10" t="s">
        <v>60</v>
      </c>
      <c r="C20" s="10" t="s">
        <v>59</v>
      </c>
      <c r="D20" s="10" t="str">
        <f>UPPER(TRIM(B20))</f>
        <v>SUSU</v>
      </c>
      <c r="E20" s="3" t="str">
        <f>PROPER(C20)</f>
        <v>Korea</v>
      </c>
      <c r="F20" s="1" t="str">
        <f>LOWER(B20)</f>
        <v>susu</v>
      </c>
    </row>
    <row r="21" spans="1:6">
      <c r="A21" s="12" t="s">
        <v>43</v>
      </c>
      <c r="B21" s="10" t="s">
        <v>44</v>
      </c>
      <c r="C21" s="10" t="s">
        <v>45</v>
      </c>
      <c r="D21" s="10" t="str">
        <f>TRIM(UPPER(B21))</f>
        <v>CHELSY</v>
      </c>
      <c r="E21" s="18" t="str">
        <f t="shared" ref="E21:E24" si="4">PROPER(C21)</f>
        <v>England</v>
      </c>
    </row>
    <row r="22" spans="1:6">
      <c r="A22" s="12" t="s">
        <v>46</v>
      </c>
      <c r="B22" s="10" t="s">
        <v>47</v>
      </c>
      <c r="C22" s="10" t="s">
        <v>48</v>
      </c>
      <c r="D22" s="10" t="str">
        <f>UPPER(TRIM(B22))</f>
        <v>ROMA</v>
      </c>
      <c r="E22" s="18" t="str">
        <f t="shared" si="4"/>
        <v>Italy</v>
      </c>
    </row>
    <row r="23" spans="1:6">
      <c r="A23" s="12" t="s">
        <v>49</v>
      </c>
      <c r="B23" s="10" t="s">
        <v>50</v>
      </c>
      <c r="C23" s="10" t="s">
        <v>51</v>
      </c>
      <c r="D23" s="10" t="str">
        <f t="shared" ref="D23:D24" si="5">UPPER(TRIM(B23))</f>
        <v>HOVEN</v>
      </c>
      <c r="E23" s="18" t="str">
        <f t="shared" si="4"/>
        <v>Netherlands</v>
      </c>
    </row>
    <row r="24" spans="1:6">
      <c r="A24" s="12" t="s">
        <v>52</v>
      </c>
      <c r="B24" s="13" t="s">
        <v>53</v>
      </c>
      <c r="C24" s="10" t="s">
        <v>54</v>
      </c>
      <c r="D24" s="10" t="str">
        <f t="shared" si="5"/>
        <v>ISAC</v>
      </c>
      <c r="E24" s="18" t="str">
        <f t="shared" si="4"/>
        <v>France</v>
      </c>
    </row>
  </sheetData>
  <mergeCells count="9">
    <mergeCell ref="A15:B15"/>
    <mergeCell ref="D15:E15"/>
    <mergeCell ref="G15:H15"/>
    <mergeCell ref="A1:H1"/>
    <mergeCell ref="A12:D12"/>
    <mergeCell ref="H12:I12"/>
    <mergeCell ref="A14:B14"/>
    <mergeCell ref="D14:E14"/>
    <mergeCell ref="G14:H14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4:A11 A20:A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2011-06-14T09:18:10Z</dcterms:created>
  <dcterms:modified xsi:type="dcterms:W3CDTF">2018-10-25T07:00:37Z</dcterms:modified>
</cp:coreProperties>
</file>