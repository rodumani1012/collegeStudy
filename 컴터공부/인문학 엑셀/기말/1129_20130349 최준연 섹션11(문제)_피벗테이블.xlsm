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인문학 엑셀\기말\"/>
    </mc:Choice>
  </mc:AlternateContent>
  <bookViews>
    <workbookView xWindow="480" yWindow="60" windowWidth="18195" windowHeight="11820"/>
  </bookViews>
  <sheets>
    <sheet name="무작정따라하기" sheetId="4" r:id="rId1"/>
    <sheet name="기출01" sheetId="5" r:id="rId2"/>
    <sheet name="기출02" sheetId="6" r:id="rId3"/>
  </sheets>
  <definedNames>
    <definedName name="상여지급율">기출02!#REF!</definedName>
    <definedName name="특별상여율">기출02!#REF!</definedName>
    <definedName name="할인율">#REF!</definedName>
  </definedNames>
  <calcPr calcId="152511"/>
  <pivotCaches>
    <pivotCache cacheId="4" r:id="rId4"/>
  </pivotCaches>
</workbook>
</file>

<file path=xl/calcChain.xml><?xml version="1.0" encoding="utf-8"?>
<calcChain xmlns="http://schemas.openxmlformats.org/spreadsheetml/2006/main">
  <c r="G15" i="5" l="1"/>
  <c r="G14" i="5"/>
  <c r="G13" i="5"/>
  <c r="G12" i="5"/>
  <c r="G11" i="5"/>
  <c r="G10" i="5"/>
  <c r="G9" i="5"/>
  <c r="G8" i="5"/>
  <c r="G7" i="5"/>
  <c r="G6" i="5"/>
  <c r="G5" i="5"/>
  <c r="G4" i="5"/>
  <c r="H13" i="4"/>
  <c r="H12" i="4"/>
  <c r="H11" i="4"/>
  <c r="H10" i="4"/>
  <c r="H9" i="4"/>
  <c r="H8" i="4"/>
  <c r="H7" i="4"/>
  <c r="H6" i="4"/>
  <c r="H5" i="4"/>
  <c r="H4" i="4"/>
</calcChain>
</file>

<file path=xl/sharedStrings.xml><?xml version="1.0" encoding="utf-8"?>
<sst xmlns="http://schemas.openxmlformats.org/spreadsheetml/2006/main" count="130" uniqueCount="86">
  <si>
    <t>연수 점수 현황</t>
    <phoneticPr fontId="3" type="noConversion"/>
  </si>
  <si>
    <t>등급</t>
  </si>
  <si>
    <t>성명</t>
  </si>
  <si>
    <t>과정코드</t>
  </si>
  <si>
    <t>근무점수</t>
    <phoneticPr fontId="3" type="noConversion"/>
  </si>
  <si>
    <t>경력점수</t>
  </si>
  <si>
    <t>어학점수</t>
    <phoneticPr fontId="3" type="noConversion"/>
  </si>
  <si>
    <t>총점</t>
  </si>
  <si>
    <t>고급반</t>
  </si>
  <si>
    <t>개나리</t>
    <phoneticPr fontId="3" type="noConversion"/>
  </si>
  <si>
    <t>영어</t>
    <phoneticPr fontId="3" type="noConversion"/>
  </si>
  <si>
    <t>중급반</t>
  </si>
  <si>
    <t>진달래</t>
    <phoneticPr fontId="3" type="noConversion"/>
  </si>
  <si>
    <t>전산</t>
    <phoneticPr fontId="3" type="noConversion"/>
  </si>
  <si>
    <t>기초반</t>
  </si>
  <si>
    <t>철쭉</t>
    <phoneticPr fontId="3" type="noConversion"/>
  </si>
  <si>
    <t>마케팅</t>
    <phoneticPr fontId="3" type="noConversion"/>
  </si>
  <si>
    <t>기초반</t>
    <phoneticPr fontId="3" type="noConversion"/>
  </si>
  <si>
    <t>도라지</t>
    <phoneticPr fontId="3" type="noConversion"/>
  </si>
  <si>
    <t>장미</t>
    <phoneticPr fontId="3" type="noConversion"/>
  </si>
  <si>
    <t>튤립</t>
    <phoneticPr fontId="3" type="noConversion"/>
  </si>
  <si>
    <t>카라</t>
    <phoneticPr fontId="3" type="noConversion"/>
  </si>
  <si>
    <t>백합</t>
    <phoneticPr fontId="3" type="noConversion"/>
  </si>
  <si>
    <t>판  매  현  황</t>
    <phoneticPr fontId="3" type="noConversion"/>
  </si>
  <si>
    <t>판매일자</t>
    <phoneticPr fontId="3" type="noConversion"/>
  </si>
  <si>
    <t>제품코드</t>
    <phoneticPr fontId="3" type="noConversion"/>
  </si>
  <si>
    <t>판매형태</t>
    <phoneticPr fontId="3" type="noConversion"/>
  </si>
  <si>
    <t>단가</t>
    <phoneticPr fontId="3" type="noConversion"/>
  </si>
  <si>
    <t>납품수량</t>
    <phoneticPr fontId="3" type="noConversion"/>
  </si>
  <si>
    <t>반품수량</t>
    <phoneticPr fontId="3" type="noConversion"/>
  </si>
  <si>
    <t>매출액</t>
    <phoneticPr fontId="3" type="noConversion"/>
  </si>
  <si>
    <t>A-134</t>
    <phoneticPr fontId="3" type="noConversion"/>
  </si>
  <si>
    <t>완제품</t>
    <phoneticPr fontId="3" type="noConversion"/>
  </si>
  <si>
    <t>B-312</t>
    <phoneticPr fontId="3" type="noConversion"/>
  </si>
  <si>
    <t>부품</t>
    <phoneticPr fontId="3" type="noConversion"/>
  </si>
  <si>
    <t>2월 급여계산 내역</t>
    <phoneticPr fontId="3" type="noConversion"/>
  </si>
  <si>
    <r>
      <t xml:space="preserve">(단위 </t>
    </r>
    <r>
      <rPr>
        <sz val="11"/>
        <color theme="1"/>
        <rFont val="맑은 고딕"/>
        <family val="3"/>
        <charset val="129"/>
      </rPr>
      <t>: 천원)</t>
    </r>
    <phoneticPr fontId="3" type="noConversion"/>
  </si>
  <si>
    <t>이름</t>
    <phoneticPr fontId="3" type="noConversion"/>
  </si>
  <si>
    <t>부서명</t>
    <phoneticPr fontId="3" type="noConversion"/>
  </si>
  <si>
    <t>직급</t>
    <phoneticPr fontId="3" type="noConversion"/>
  </si>
  <si>
    <t>기본급</t>
    <phoneticPr fontId="3" type="noConversion"/>
  </si>
  <si>
    <t>상여금</t>
    <phoneticPr fontId="3" type="noConversion"/>
  </si>
  <si>
    <t>제세금</t>
    <phoneticPr fontId="3" type="noConversion"/>
  </si>
  <si>
    <t>기타공제</t>
    <phoneticPr fontId="3" type="noConversion"/>
  </si>
  <si>
    <t>실수령액</t>
    <phoneticPr fontId="3" type="noConversion"/>
  </si>
  <si>
    <t>김가네</t>
    <phoneticPr fontId="3" type="noConversion"/>
  </si>
  <si>
    <t>경리과</t>
    <phoneticPr fontId="3" type="noConversion"/>
  </si>
  <si>
    <t>1-1급</t>
    <phoneticPr fontId="3" type="noConversion"/>
  </si>
  <si>
    <t>남이사</t>
    <phoneticPr fontId="3" type="noConversion"/>
  </si>
  <si>
    <t>인사과</t>
    <phoneticPr fontId="3" type="noConversion"/>
  </si>
  <si>
    <t>2-1급</t>
    <phoneticPr fontId="3" type="noConversion"/>
  </si>
  <si>
    <t>이영감</t>
    <phoneticPr fontId="3" type="noConversion"/>
  </si>
  <si>
    <t>2-2급</t>
    <phoneticPr fontId="3" type="noConversion"/>
  </si>
  <si>
    <t>최참봉</t>
    <phoneticPr fontId="3" type="noConversion"/>
  </si>
  <si>
    <t>영업1과</t>
    <phoneticPr fontId="3" type="noConversion"/>
  </si>
  <si>
    <r>
      <t>1-</t>
    </r>
    <r>
      <rPr>
        <sz val="11"/>
        <color theme="1"/>
        <rFont val="맑은 고딕"/>
        <family val="3"/>
        <charset val="129"/>
      </rPr>
      <t>1급</t>
    </r>
    <phoneticPr fontId="3" type="noConversion"/>
  </si>
  <si>
    <t>박달재</t>
    <phoneticPr fontId="3" type="noConversion"/>
  </si>
  <si>
    <r>
      <t>2-</t>
    </r>
    <r>
      <rPr>
        <sz val="11"/>
        <color theme="1"/>
        <rFont val="맑은 고딕"/>
        <family val="3"/>
        <charset val="129"/>
      </rPr>
      <t>2급</t>
    </r>
    <phoneticPr fontId="3" type="noConversion"/>
  </si>
  <si>
    <t>서섭이</t>
    <phoneticPr fontId="3" type="noConversion"/>
  </si>
  <si>
    <t>기획과</t>
    <phoneticPr fontId="3" type="noConversion"/>
  </si>
  <si>
    <t>3-1급</t>
    <phoneticPr fontId="3" type="noConversion"/>
  </si>
  <si>
    <t>장사진</t>
    <phoneticPr fontId="3" type="noConversion"/>
  </si>
  <si>
    <t>3-2급</t>
    <phoneticPr fontId="3" type="noConversion"/>
  </si>
  <si>
    <t>탁자용</t>
    <phoneticPr fontId="3" type="noConversion"/>
  </si>
  <si>
    <t>조갑이</t>
    <phoneticPr fontId="3" type="noConversion"/>
  </si>
  <si>
    <r>
      <t>3-</t>
    </r>
    <r>
      <rPr>
        <sz val="11"/>
        <color theme="1"/>
        <rFont val="맑은 고딕"/>
        <family val="3"/>
        <charset val="129"/>
      </rPr>
      <t>1급</t>
    </r>
    <phoneticPr fontId="3" type="noConversion"/>
  </si>
  <si>
    <t>강두길</t>
    <phoneticPr fontId="3" type="noConversion"/>
  </si>
  <si>
    <r>
      <t>3-</t>
    </r>
    <r>
      <rPr>
        <sz val="11"/>
        <color theme="1"/>
        <rFont val="맑은 고딕"/>
        <family val="3"/>
        <charset val="129"/>
      </rPr>
      <t>2급</t>
    </r>
    <phoneticPr fontId="3" type="noConversion"/>
  </si>
  <si>
    <t>A3:H13 영역 선택 -&gt; 삽입 -&gt; 피벗테이블</t>
    <phoneticPr fontId="2" type="noConversion"/>
  </si>
  <si>
    <t>이름</t>
  </si>
  <si>
    <t>(모두)</t>
  </si>
  <si>
    <t>경리과</t>
  </si>
  <si>
    <t>기획과</t>
  </si>
  <si>
    <t>영업1과</t>
  </si>
  <si>
    <t>인사과</t>
  </si>
  <si>
    <t>1-1급</t>
  </si>
  <si>
    <t>2-1급</t>
  </si>
  <si>
    <t>2-2급</t>
  </si>
  <si>
    <t>3-1급</t>
  </si>
  <si>
    <t>3-2급</t>
  </si>
  <si>
    <t>합계 : 상여금</t>
  </si>
  <si>
    <t>평균 : 실수령액</t>
  </si>
  <si>
    <t>직급</t>
  </si>
  <si>
    <t>값</t>
  </si>
  <si>
    <t>부서명</t>
  </si>
  <si>
    <t>추가할 데이터를 드래그 앤 드롭하면 된다.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</si>
</sst>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#,##0_);[Red]\(#,##0\)"/>
  </numFmts>
  <fonts count="8" x14ac:knownFonts="1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b/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2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</cellStyleXfs>
  <cellXfs count="22">
    <xf numFmtId="0" fontId="0" fillId="0" borderId="0" xfId="0">
      <alignment vertical="center"/>
    </xf>
    <xf numFmtId="0" fontId="5" fillId="0" borderId="0" xfId="1" applyFont="1"/>
    <xf numFmtId="0" fontId="5" fillId="0" borderId="2" xfId="1" applyFont="1" applyBorder="1" applyAlignment="1">
      <alignment horizontal="center"/>
    </xf>
    <xf numFmtId="0" fontId="5" fillId="0" borderId="0" xfId="1" applyFont="1" applyAlignment="1">
      <alignment horizontal="center"/>
    </xf>
    <xf numFmtId="0" fontId="5" fillId="0" borderId="2" xfId="1" applyFont="1" applyBorder="1"/>
    <xf numFmtId="0" fontId="5" fillId="0" borderId="0" xfId="1" applyFont="1" applyBorder="1"/>
    <xf numFmtId="41" fontId="7" fillId="0" borderId="2" xfId="2" applyFont="1" applyBorder="1"/>
    <xf numFmtId="0" fontId="5" fillId="0" borderId="0" xfId="1" applyNumberFormat="1" applyFont="1" applyBorder="1" applyAlignment="1">
      <alignment horizontal="center" vertical="top"/>
    </xf>
    <xf numFmtId="0" fontId="5" fillId="0" borderId="0" xfId="1" applyNumberFormat="1" applyFont="1" applyAlignment="1">
      <alignment vertical="top"/>
    </xf>
    <xf numFmtId="0" fontId="5" fillId="0" borderId="2" xfId="1" applyNumberFormat="1" applyFont="1" applyBorder="1" applyAlignment="1">
      <alignment horizontal="center" vertical="center"/>
    </xf>
    <xf numFmtId="0" fontId="5" fillId="0" borderId="2" xfId="1" applyNumberFormat="1" applyFont="1" applyBorder="1" applyAlignment="1">
      <alignment horizontal="center" vertical="top"/>
    </xf>
    <xf numFmtId="0" fontId="5" fillId="0" borderId="2" xfId="1" applyNumberFormat="1" applyFont="1" applyBorder="1" applyAlignment="1">
      <alignment horizontal="center" vertical="center" wrapText="1"/>
    </xf>
    <xf numFmtId="41" fontId="5" fillId="0" borderId="2" xfId="2" applyFont="1" applyBorder="1" applyAlignment="1">
      <alignment vertical="top"/>
    </xf>
    <xf numFmtId="176" fontId="5" fillId="0" borderId="2" xfId="2" applyNumberFormat="1" applyFont="1" applyBorder="1"/>
    <xf numFmtId="14" fontId="5" fillId="0" borderId="2" xfId="1" applyNumberFormat="1" applyFont="1" applyBorder="1" applyAlignment="1">
      <alignment horizontal="center"/>
    </xf>
    <xf numFmtId="0" fontId="4" fillId="0" borderId="0" xfId="1" applyNumberFormat="1" applyFont="1" applyBorder="1" applyAlignment="1">
      <alignment horizontal="center" vertical="top"/>
    </xf>
    <xf numFmtId="0" fontId="5" fillId="0" borderId="1" xfId="1" applyNumberFormat="1" applyFont="1" applyBorder="1" applyAlignment="1">
      <alignment horizontal="right" vertical="top"/>
    </xf>
    <xf numFmtId="0" fontId="6" fillId="0" borderId="0" xfId="1" applyFont="1" applyAlignment="1">
      <alignment horizontal="center"/>
    </xf>
    <xf numFmtId="0" fontId="4" fillId="0" borderId="0" xfId="1" applyFont="1" applyAlignment="1">
      <alignment horizontal="center"/>
    </xf>
    <xf numFmtId="0" fontId="5" fillId="0" borderId="0" xfId="1" applyFont="1" applyBorder="1" applyAlignment="1">
      <alignment horizont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3</xdr:row>
      <xdr:rowOff>57150</xdr:rowOff>
    </xdr:from>
    <xdr:to>
      <xdr:col>11</xdr:col>
      <xdr:colOff>1323521</xdr:colOff>
      <xdr:row>20</xdr:row>
      <xdr:rowOff>85276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72625" y="733425"/>
          <a:ext cx="3628571" cy="3590476"/>
        </a:xfrm>
        <a:prstGeom prst="rect">
          <a:avLst/>
        </a:prstGeom>
      </xdr:spPr>
    </xdr:pic>
    <xdr:clientData/>
  </xdr:twoCellAnchor>
  <xdr:twoCellAnchor editAs="oneCell">
    <xdr:from>
      <xdr:col>7</xdr:col>
      <xdr:colOff>714375</xdr:colOff>
      <xdr:row>30</xdr:row>
      <xdr:rowOff>76200</xdr:rowOff>
    </xdr:from>
    <xdr:to>
      <xdr:col>10</xdr:col>
      <xdr:colOff>1123463</xdr:colOff>
      <xdr:row>52</xdr:row>
      <xdr:rowOff>47052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01050" y="6410325"/>
          <a:ext cx="3895238" cy="4580952"/>
        </a:xfrm>
        <a:prstGeom prst="rect">
          <a:avLst/>
        </a:prstGeom>
      </xdr:spPr>
    </xdr:pic>
    <xdr:clientData/>
  </xdr:twoCellAnchor>
  <xdr:twoCellAnchor editAs="oneCell">
    <xdr:from>
      <xdr:col>1</xdr:col>
      <xdr:colOff>1157262</xdr:colOff>
      <xdr:row>27</xdr:row>
      <xdr:rowOff>134472</xdr:rowOff>
    </xdr:from>
    <xdr:to>
      <xdr:col>7</xdr:col>
      <xdr:colOff>130396</xdr:colOff>
      <xdr:row>43</xdr:row>
      <xdr:rowOff>47880</xdr:rowOff>
    </xdr:to>
    <xdr:pic>
      <xdr:nvPicPr>
        <xdr:cNvPr id="5" name="그림 4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506" t="38498" r="56115" b="23412"/>
        <a:stretch/>
      </xdr:blipFill>
      <xdr:spPr>
        <a:xfrm>
          <a:off x="1874438" y="5927913"/>
          <a:ext cx="5965605" cy="3319996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3447.641805671294" createdVersion="5" refreshedVersion="5" minRefreshableVersion="3" recordCount="10">
  <cacheSource type="worksheet">
    <worksheetSource ref="A3:H13" sheet="무작정따라하기"/>
  </cacheSource>
  <cacheFields count="8">
    <cacheField name="이름" numFmtId="0">
      <sharedItems count="10">
        <s v="김가네"/>
        <s v="남이사"/>
        <s v="이영감"/>
        <s v="최참봉"/>
        <s v="박달재"/>
        <s v="서섭이"/>
        <s v="장사진"/>
        <s v="탁자용"/>
        <s v="조갑이"/>
        <s v="강두길"/>
      </sharedItems>
    </cacheField>
    <cacheField name="부서명" numFmtId="0">
      <sharedItems count="4">
        <s v="경리과"/>
        <s v="인사과"/>
        <s v="영업1과"/>
        <s v="기획과"/>
      </sharedItems>
    </cacheField>
    <cacheField name="직급" numFmtId="0">
      <sharedItems count="5">
        <s v="1-1급"/>
        <s v="2-1급"/>
        <s v="2-2급"/>
        <s v="3-1급"/>
        <s v="3-2급"/>
      </sharedItems>
    </cacheField>
    <cacheField name="기본급" numFmtId="41">
      <sharedItems containsSemiMixedTypes="0" containsString="0" containsNumber="1" containsInteger="1" minValue="890" maxValue="1800"/>
    </cacheField>
    <cacheField name="상여금" numFmtId="41">
      <sharedItems containsSemiMixedTypes="0" containsString="0" containsNumber="1" containsInteger="1" minValue="890" maxValue="1800"/>
    </cacheField>
    <cacheField name="제세금" numFmtId="41">
      <sharedItems containsSemiMixedTypes="0" containsString="0" containsNumber="1" containsInteger="1" minValue="44" maxValue="90"/>
    </cacheField>
    <cacheField name="기타공제" numFmtId="41">
      <sharedItems containsSemiMixedTypes="0" containsString="0" containsNumber="1" containsInteger="1" minValue="240" maxValue="990"/>
    </cacheField>
    <cacheField name="실수령액" numFmtId="176">
      <sharedItems containsSemiMixedTypes="0" containsString="0" containsNumber="1" containsInteger="1" minValue="1408" maxValue="29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x v="0"/>
    <x v="0"/>
    <x v="0"/>
    <n v="1800"/>
    <n v="1800"/>
    <n v="90"/>
    <n v="990"/>
    <n v="2520"/>
  </r>
  <r>
    <x v="1"/>
    <x v="1"/>
    <x v="1"/>
    <n v="1750"/>
    <n v="1750"/>
    <n v="87"/>
    <n v="450"/>
    <n v="2963"/>
  </r>
  <r>
    <x v="2"/>
    <x v="0"/>
    <x v="2"/>
    <n v="1550"/>
    <n v="1550"/>
    <n v="77"/>
    <n v="250"/>
    <n v="2773"/>
  </r>
  <r>
    <x v="3"/>
    <x v="2"/>
    <x v="0"/>
    <n v="1480"/>
    <n v="1480"/>
    <n v="74"/>
    <n v="820"/>
    <n v="2066"/>
  </r>
  <r>
    <x v="4"/>
    <x v="1"/>
    <x v="2"/>
    <n v="1400"/>
    <n v="1400"/>
    <n v="70"/>
    <n v="430"/>
    <n v="2300"/>
  </r>
  <r>
    <x v="5"/>
    <x v="3"/>
    <x v="3"/>
    <n v="1350"/>
    <n v="1350"/>
    <n v="67"/>
    <n v="310"/>
    <n v="2323"/>
  </r>
  <r>
    <x v="6"/>
    <x v="0"/>
    <x v="4"/>
    <n v="1200"/>
    <n v="1200"/>
    <n v="60"/>
    <n v="240"/>
    <n v="2100"/>
  </r>
  <r>
    <x v="7"/>
    <x v="3"/>
    <x v="1"/>
    <n v="1050"/>
    <n v="1050"/>
    <n v="52"/>
    <n v="640"/>
    <n v="1408"/>
  </r>
  <r>
    <x v="8"/>
    <x v="2"/>
    <x v="3"/>
    <n v="980"/>
    <n v="980"/>
    <n v="49"/>
    <n v="320"/>
    <n v="1591"/>
  </r>
  <r>
    <x v="9"/>
    <x v="1"/>
    <x v="4"/>
    <n v="890"/>
    <n v="890"/>
    <n v="44"/>
    <n v="245"/>
    <n v="14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4" applyNumberFormats="0" applyBorderFormats="0" applyFontFormats="0" applyPatternFormats="0" applyAlignmentFormats="0" applyWidthHeightFormats="1" dataCaption="값" updatedVersion="5" minRefreshableVersion="3" useAutoFormatting="1" rowGrandTotals="0" colGrandTotals="0" itemPrintTitles="1" createdVersion="5" indent="0" compact="0" compactData="0" multipleFieldFilters="0">
  <location ref="A20:K26" firstHeaderRow="1" firstDataRow="3" firstDataCol="1" rowPageCount="1" colPageCount="1"/>
  <pivotFields count="8">
    <pivotField axis="axisPage" compact="0" outline="0" showAll="0">
      <items count="11">
        <item x="9"/>
        <item x="0"/>
        <item x="1"/>
        <item x="4"/>
        <item x="5"/>
        <item x="2"/>
        <item x="6"/>
        <item x="8"/>
        <item x="3"/>
        <item x="7"/>
        <item t="default"/>
      </items>
    </pivotField>
    <pivotField axis="axisRow" compact="0" outline="0" showAll="0">
      <items count="5">
        <item x="0"/>
        <item x="3"/>
        <item x="2"/>
        <item x="1"/>
        <item t="default"/>
      </items>
    </pivotField>
    <pivotField axis="axisCol" compact="0" outline="0" showAll="0">
      <items count="6">
        <item x="0"/>
        <item x="1"/>
        <item x="2"/>
        <item x="3"/>
        <item x="4"/>
        <item t="default"/>
      </items>
    </pivotField>
    <pivotField compact="0" numFmtId="41" outline="0" showAll="0"/>
    <pivotField dataField="1" compact="0" numFmtId="41" outline="0" showAll="0"/>
    <pivotField compact="0" numFmtId="41" outline="0" showAll="0"/>
    <pivotField compact="0" numFmtId="41" outline="0" showAll="0"/>
    <pivotField dataField="1" compact="0" numFmtId="176" outline="0" showAll="0"/>
  </pivotFields>
  <rowFields count="1">
    <field x="1"/>
  </rowFields>
  <rowItems count="4">
    <i>
      <x/>
    </i>
    <i>
      <x v="1"/>
    </i>
    <i>
      <x v="2"/>
    </i>
    <i>
      <x v="3"/>
    </i>
  </rowItems>
  <colFields count="2">
    <field x="2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</colItems>
  <pageFields count="1">
    <pageField fld="0" hier="-1"/>
  </pageFields>
  <dataFields count="2">
    <dataField name="합계 : 상여금" fld="4" baseField="0" baseItem="0"/>
    <dataField name="평균 : 실수령액" fld="7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7"/>
  <sheetViews>
    <sheetView tabSelected="1" topLeftCell="A16" zoomScale="85" zoomScaleNormal="85" workbookViewId="0">
      <selection activeCell="F27" sqref="F27"/>
    </sheetView>
  </sheetViews>
  <sheetFormatPr defaultRowHeight="16.5" x14ac:dyDescent="0.3"/>
  <cols>
    <col min="1" max="1" width="9.375" style="1" customWidth="1"/>
    <col min="2" max="7" width="15.25" style="1" customWidth="1"/>
    <col min="8" max="11" width="15.25" style="1" bestFit="1" customWidth="1"/>
    <col min="12" max="12" width="18" style="1" bestFit="1" customWidth="1"/>
    <col min="13" max="13" width="20.125" style="1" bestFit="1" customWidth="1"/>
    <col min="14" max="16384" width="9" style="1"/>
  </cols>
  <sheetData>
    <row r="1" spans="1:10" ht="20.25" x14ac:dyDescent="0.3">
      <c r="A1" s="15" t="s">
        <v>35</v>
      </c>
      <c r="B1" s="15"/>
      <c r="C1" s="15"/>
      <c r="D1" s="15"/>
      <c r="E1" s="15"/>
      <c r="F1" s="15"/>
      <c r="G1" s="15"/>
      <c r="H1" s="15"/>
      <c r="I1" s="7"/>
    </row>
    <row r="2" spans="1:10" x14ac:dyDescent="0.3">
      <c r="A2" s="8"/>
      <c r="B2" s="8"/>
      <c r="C2" s="8"/>
      <c r="D2" s="8"/>
      <c r="E2" s="8"/>
      <c r="F2" s="8"/>
      <c r="G2" s="16" t="s">
        <v>36</v>
      </c>
      <c r="H2" s="16"/>
      <c r="I2" s="8"/>
    </row>
    <row r="3" spans="1:10" x14ac:dyDescent="0.3">
      <c r="A3" s="9" t="s">
        <v>37</v>
      </c>
      <c r="B3" s="9" t="s">
        <v>38</v>
      </c>
      <c r="C3" s="9" t="s">
        <v>39</v>
      </c>
      <c r="D3" s="10" t="s">
        <v>40</v>
      </c>
      <c r="E3" s="10" t="s">
        <v>41</v>
      </c>
      <c r="F3" s="10" t="s">
        <v>42</v>
      </c>
      <c r="G3" s="10" t="s">
        <v>43</v>
      </c>
      <c r="H3" s="11" t="s">
        <v>44</v>
      </c>
      <c r="J3" s="1" t="s">
        <v>68</v>
      </c>
    </row>
    <row r="4" spans="1:10" x14ac:dyDescent="0.3">
      <c r="A4" s="10" t="s">
        <v>45</v>
      </c>
      <c r="B4" s="10" t="s">
        <v>46</v>
      </c>
      <c r="C4" s="10" t="s">
        <v>47</v>
      </c>
      <c r="D4" s="12">
        <v>1800</v>
      </c>
      <c r="E4" s="12">
        <v>1800</v>
      </c>
      <c r="F4" s="12">
        <v>90</v>
      </c>
      <c r="G4" s="12">
        <v>990</v>
      </c>
      <c r="H4" s="13">
        <f>D4+E4-F4-G4</f>
        <v>2520</v>
      </c>
    </row>
    <row r="5" spans="1:10" x14ac:dyDescent="0.3">
      <c r="A5" s="10" t="s">
        <v>48</v>
      </c>
      <c r="B5" s="10" t="s">
        <v>49</v>
      </c>
      <c r="C5" s="10" t="s">
        <v>50</v>
      </c>
      <c r="D5" s="12">
        <v>1750</v>
      </c>
      <c r="E5" s="12">
        <v>1750</v>
      </c>
      <c r="F5" s="12">
        <v>87</v>
      </c>
      <c r="G5" s="12">
        <v>450</v>
      </c>
      <c r="H5" s="13">
        <f t="shared" ref="H5:H13" si="0">D5+E5-F5-G5</f>
        <v>2963</v>
      </c>
    </row>
    <row r="6" spans="1:10" x14ac:dyDescent="0.3">
      <c r="A6" s="10" t="s">
        <v>51</v>
      </c>
      <c r="B6" s="10" t="s">
        <v>46</v>
      </c>
      <c r="C6" s="10" t="s">
        <v>52</v>
      </c>
      <c r="D6" s="12">
        <v>1550</v>
      </c>
      <c r="E6" s="12">
        <v>1550</v>
      </c>
      <c r="F6" s="12">
        <v>77</v>
      </c>
      <c r="G6" s="12">
        <v>250</v>
      </c>
      <c r="H6" s="13">
        <f t="shared" si="0"/>
        <v>2773</v>
      </c>
    </row>
    <row r="7" spans="1:10" x14ac:dyDescent="0.3">
      <c r="A7" s="10" t="s">
        <v>53</v>
      </c>
      <c r="B7" s="10" t="s">
        <v>54</v>
      </c>
      <c r="C7" s="10" t="s">
        <v>55</v>
      </c>
      <c r="D7" s="12">
        <v>1480</v>
      </c>
      <c r="E7" s="12">
        <v>1480</v>
      </c>
      <c r="F7" s="12">
        <v>74</v>
      </c>
      <c r="G7" s="12">
        <v>820</v>
      </c>
      <c r="H7" s="13">
        <f t="shared" si="0"/>
        <v>2066</v>
      </c>
    </row>
    <row r="8" spans="1:10" x14ac:dyDescent="0.3">
      <c r="A8" s="10" t="s">
        <v>56</v>
      </c>
      <c r="B8" s="10" t="s">
        <v>49</v>
      </c>
      <c r="C8" s="10" t="s">
        <v>57</v>
      </c>
      <c r="D8" s="12">
        <v>1400</v>
      </c>
      <c r="E8" s="12">
        <v>1400</v>
      </c>
      <c r="F8" s="12">
        <v>70</v>
      </c>
      <c r="G8" s="12">
        <v>430</v>
      </c>
      <c r="H8" s="13">
        <f t="shared" si="0"/>
        <v>2300</v>
      </c>
    </row>
    <row r="9" spans="1:10" x14ac:dyDescent="0.3">
      <c r="A9" s="10" t="s">
        <v>58</v>
      </c>
      <c r="B9" s="10" t="s">
        <v>59</v>
      </c>
      <c r="C9" s="10" t="s">
        <v>60</v>
      </c>
      <c r="D9" s="12">
        <v>1350</v>
      </c>
      <c r="E9" s="12">
        <v>1350</v>
      </c>
      <c r="F9" s="12">
        <v>67</v>
      </c>
      <c r="G9" s="12">
        <v>310</v>
      </c>
      <c r="H9" s="13">
        <f t="shared" si="0"/>
        <v>2323</v>
      </c>
    </row>
    <row r="10" spans="1:10" x14ac:dyDescent="0.3">
      <c r="A10" s="10" t="s">
        <v>61</v>
      </c>
      <c r="B10" s="10" t="s">
        <v>46</v>
      </c>
      <c r="C10" s="10" t="s">
        <v>62</v>
      </c>
      <c r="D10" s="12">
        <v>1200</v>
      </c>
      <c r="E10" s="12">
        <v>1200</v>
      </c>
      <c r="F10" s="12">
        <v>60</v>
      </c>
      <c r="G10" s="12">
        <v>240</v>
      </c>
      <c r="H10" s="13">
        <f t="shared" si="0"/>
        <v>2100</v>
      </c>
    </row>
    <row r="11" spans="1:10" x14ac:dyDescent="0.3">
      <c r="A11" s="10" t="s">
        <v>63</v>
      </c>
      <c r="B11" s="10" t="s">
        <v>59</v>
      </c>
      <c r="C11" s="10" t="s">
        <v>50</v>
      </c>
      <c r="D11" s="12">
        <v>1050</v>
      </c>
      <c r="E11" s="12">
        <v>1050</v>
      </c>
      <c r="F11" s="12">
        <v>52</v>
      </c>
      <c r="G11" s="12">
        <v>640</v>
      </c>
      <c r="H11" s="13">
        <f t="shared" si="0"/>
        <v>1408</v>
      </c>
    </row>
    <row r="12" spans="1:10" x14ac:dyDescent="0.3">
      <c r="A12" s="10" t="s">
        <v>64</v>
      </c>
      <c r="B12" s="10" t="s">
        <v>54</v>
      </c>
      <c r="C12" s="10" t="s">
        <v>65</v>
      </c>
      <c r="D12" s="12">
        <v>980</v>
      </c>
      <c r="E12" s="12">
        <v>980</v>
      </c>
      <c r="F12" s="12">
        <v>49</v>
      </c>
      <c r="G12" s="12">
        <v>320</v>
      </c>
      <c r="H12" s="13">
        <f t="shared" si="0"/>
        <v>1591</v>
      </c>
    </row>
    <row r="13" spans="1:10" x14ac:dyDescent="0.3">
      <c r="A13" s="10" t="s">
        <v>66</v>
      </c>
      <c r="B13" s="10" t="s">
        <v>49</v>
      </c>
      <c r="C13" s="10" t="s">
        <v>67</v>
      </c>
      <c r="D13" s="12">
        <v>890</v>
      </c>
      <c r="E13" s="12">
        <v>890</v>
      </c>
      <c r="F13" s="12">
        <v>44</v>
      </c>
      <c r="G13" s="12">
        <v>245</v>
      </c>
      <c r="H13" s="13">
        <f t="shared" si="0"/>
        <v>1491</v>
      </c>
    </row>
    <row r="18" spans="1:13" x14ac:dyDescent="0.3">
      <c r="A18" s="20" t="s">
        <v>69</v>
      </c>
      <c r="B18" t="s">
        <v>70</v>
      </c>
    </row>
    <row r="20" spans="1:13" x14ac:dyDescent="0.3">
      <c r="A20"/>
      <c r="B20" s="20" t="s">
        <v>82</v>
      </c>
      <c r="C20" s="20" t="s">
        <v>83</v>
      </c>
      <c r="D20"/>
      <c r="E20"/>
      <c r="F20"/>
      <c r="G20"/>
      <c r="H20"/>
      <c r="I20"/>
      <c r="J20"/>
      <c r="K20"/>
      <c r="L20"/>
      <c r="M20"/>
    </row>
    <row r="21" spans="1:13" x14ac:dyDescent="0.3">
      <c r="A21"/>
      <c r="B21" t="s">
        <v>75</v>
      </c>
      <c r="C21"/>
      <c r="D21" t="s">
        <v>76</v>
      </c>
      <c r="E21"/>
      <c r="F21" t="s">
        <v>77</v>
      </c>
      <c r="G21"/>
      <c r="H21" t="s">
        <v>78</v>
      </c>
      <c r="I21"/>
      <c r="J21" t="s">
        <v>79</v>
      </c>
      <c r="K21"/>
      <c r="L21"/>
      <c r="M21"/>
    </row>
    <row r="22" spans="1:13" x14ac:dyDescent="0.3">
      <c r="A22" s="20" t="s">
        <v>84</v>
      </c>
      <c r="B22" t="s">
        <v>80</v>
      </c>
      <c r="C22" t="s">
        <v>81</v>
      </c>
      <c r="D22" t="s">
        <v>80</v>
      </c>
      <c r="E22" t="s">
        <v>81</v>
      </c>
      <c r="F22" t="s">
        <v>80</v>
      </c>
      <c r="G22" t="s">
        <v>81</v>
      </c>
      <c r="H22" t="s">
        <v>80</v>
      </c>
      <c r="I22" t="s">
        <v>81</v>
      </c>
      <c r="J22" t="s">
        <v>80</v>
      </c>
      <c r="K22" t="s">
        <v>81</v>
      </c>
      <c r="L22"/>
      <c r="M22"/>
    </row>
    <row r="23" spans="1:13" x14ac:dyDescent="0.3">
      <c r="A23" t="s">
        <v>71</v>
      </c>
      <c r="B23" s="21">
        <v>1800</v>
      </c>
      <c r="C23" s="21">
        <v>2520</v>
      </c>
      <c r="D23" s="21"/>
      <c r="E23" s="21"/>
      <c r="F23" s="21">
        <v>1550</v>
      </c>
      <c r="G23" s="21">
        <v>2773</v>
      </c>
      <c r="H23" s="21"/>
      <c r="I23" s="21"/>
      <c r="J23" s="21">
        <v>1200</v>
      </c>
      <c r="K23" s="21">
        <v>2100</v>
      </c>
      <c r="L23"/>
      <c r="M23"/>
    </row>
    <row r="24" spans="1:13" x14ac:dyDescent="0.3">
      <c r="A24" t="s">
        <v>72</v>
      </c>
      <c r="B24" s="21"/>
      <c r="C24" s="21"/>
      <c r="D24" s="21">
        <v>1050</v>
      </c>
      <c r="E24" s="21">
        <v>1408</v>
      </c>
      <c r="F24" s="21"/>
      <c r="G24" s="21"/>
      <c r="H24" s="21">
        <v>1350</v>
      </c>
      <c r="I24" s="21">
        <v>2323</v>
      </c>
      <c r="J24" s="21"/>
      <c r="K24" s="21"/>
      <c r="L24"/>
      <c r="M24"/>
    </row>
    <row r="25" spans="1:13" x14ac:dyDescent="0.3">
      <c r="A25" t="s">
        <v>73</v>
      </c>
      <c r="B25" s="21">
        <v>1480</v>
      </c>
      <c r="C25" s="21">
        <v>2066</v>
      </c>
      <c r="D25" s="21"/>
      <c r="E25" s="21"/>
      <c r="F25" s="21"/>
      <c r="G25" s="21"/>
      <c r="H25" s="21">
        <v>980</v>
      </c>
      <c r="I25" s="21">
        <v>1591</v>
      </c>
      <c r="J25" s="21"/>
      <c r="K25" s="21"/>
      <c r="L25"/>
      <c r="M25"/>
    </row>
    <row r="26" spans="1:13" x14ac:dyDescent="0.3">
      <c r="A26" t="s">
        <v>74</v>
      </c>
      <c r="B26" s="21"/>
      <c r="C26" s="21"/>
      <c r="D26" s="21">
        <v>1750</v>
      </c>
      <c r="E26" s="21">
        <v>2963</v>
      </c>
      <c r="F26" s="21">
        <v>1400</v>
      </c>
      <c r="G26" s="21">
        <v>2300</v>
      </c>
      <c r="H26" s="21"/>
      <c r="I26" s="21"/>
      <c r="J26" s="21">
        <v>890</v>
      </c>
      <c r="K26" s="21">
        <v>1491</v>
      </c>
      <c r="L26"/>
      <c r="M26"/>
    </row>
    <row r="27" spans="1:13" x14ac:dyDescent="0.3">
      <c r="A27"/>
      <c r="B27"/>
      <c r="C27"/>
      <c r="D27"/>
      <c r="E27"/>
      <c r="F27"/>
      <c r="G27"/>
      <c r="H27"/>
      <c r="I27"/>
      <c r="J27"/>
      <c r="K27"/>
      <c r="L27"/>
      <c r="M27"/>
    </row>
    <row r="28" spans="1:13" x14ac:dyDescent="0.3">
      <c r="A28"/>
      <c r="B28"/>
      <c r="C28"/>
    </row>
    <row r="29" spans="1:13" x14ac:dyDescent="0.3">
      <c r="A29"/>
      <c r="B29"/>
      <c r="C29"/>
      <c r="I29" s="1" t="s">
        <v>85</v>
      </c>
    </row>
    <row r="30" spans="1:13" x14ac:dyDescent="0.3">
      <c r="A30"/>
      <c r="B30"/>
      <c r="C30"/>
    </row>
    <row r="31" spans="1:13" x14ac:dyDescent="0.3">
      <c r="A31"/>
      <c r="B31"/>
      <c r="C31"/>
    </row>
    <row r="32" spans="1:13" x14ac:dyDescent="0.3">
      <c r="A32"/>
      <c r="B32"/>
      <c r="C32"/>
    </row>
    <row r="33" spans="1:3" x14ac:dyDescent="0.3">
      <c r="A33"/>
      <c r="B33"/>
      <c r="C33"/>
    </row>
    <row r="34" spans="1:3" x14ac:dyDescent="0.3">
      <c r="A34"/>
      <c r="B34"/>
      <c r="C34"/>
    </row>
    <row r="35" spans="1:3" x14ac:dyDescent="0.3">
      <c r="A35"/>
      <c r="B35"/>
      <c r="C35"/>
    </row>
    <row r="36" spans="1:3" x14ac:dyDescent="0.3">
      <c r="A36"/>
      <c r="B36"/>
      <c r="C36"/>
    </row>
    <row r="37" spans="1:3" x14ac:dyDescent="0.3">
      <c r="A37"/>
      <c r="B37"/>
      <c r="C37"/>
    </row>
  </sheetData>
  <mergeCells count="2">
    <mergeCell ref="A1:H1"/>
    <mergeCell ref="G2:H2"/>
  </mergeCells>
  <phoneticPr fontId="2" type="noConversion"/>
  <pageMargins left="0.75" right="0.75" top="1" bottom="1" header="0.5" footer="0.5"/>
  <pageSetup paperSize="9" orientation="portrait" horizontalDpi="4294967292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sqref="A1:G1"/>
    </sheetView>
  </sheetViews>
  <sheetFormatPr defaultRowHeight="16.5" x14ac:dyDescent="0.3"/>
  <cols>
    <col min="1" max="1" width="11.125" style="1" bestFit="1" customWidth="1"/>
    <col min="2" max="2" width="9" style="1" bestFit="1" customWidth="1"/>
    <col min="3" max="3" width="9.5" style="1" customWidth="1"/>
    <col min="4" max="4" width="9" style="1" customWidth="1"/>
    <col min="5" max="5" width="9.125" style="1" customWidth="1"/>
    <col min="6" max="6" width="9" style="1" bestFit="1" customWidth="1"/>
    <col min="7" max="7" width="9.375" style="1" bestFit="1" customWidth="1"/>
    <col min="8" max="8" width="9.625" style="1" customWidth="1"/>
    <col min="9" max="16384" width="9" style="1"/>
  </cols>
  <sheetData>
    <row r="1" spans="1:7" ht="17.25" x14ac:dyDescent="0.3">
      <c r="A1" s="17" t="s">
        <v>23</v>
      </c>
      <c r="B1" s="17"/>
      <c r="C1" s="17"/>
      <c r="D1" s="17"/>
      <c r="E1" s="17"/>
      <c r="F1" s="17"/>
      <c r="G1" s="17"/>
    </row>
    <row r="3" spans="1:7" x14ac:dyDescent="0.3">
      <c r="A3" s="2" t="s">
        <v>24</v>
      </c>
      <c r="B3" s="2" t="s">
        <v>25</v>
      </c>
      <c r="C3" s="2" t="s">
        <v>26</v>
      </c>
      <c r="D3" s="2" t="s">
        <v>27</v>
      </c>
      <c r="E3" s="2" t="s">
        <v>28</v>
      </c>
      <c r="F3" s="2" t="s">
        <v>29</v>
      </c>
      <c r="G3" s="2" t="s">
        <v>30</v>
      </c>
    </row>
    <row r="4" spans="1:7" x14ac:dyDescent="0.3">
      <c r="A4" s="14">
        <v>41278</v>
      </c>
      <c r="B4" s="2" t="s">
        <v>31</v>
      </c>
      <c r="C4" s="2" t="s">
        <v>32</v>
      </c>
      <c r="D4" s="2">
        <v>350</v>
      </c>
      <c r="E4" s="4">
        <v>170</v>
      </c>
      <c r="F4" s="4">
        <v>5</v>
      </c>
      <c r="G4" s="6">
        <f>(E4-F4)*D4</f>
        <v>57750</v>
      </c>
    </row>
    <row r="5" spans="1:7" x14ac:dyDescent="0.3">
      <c r="A5" s="14">
        <v>41288</v>
      </c>
      <c r="B5" s="2" t="s">
        <v>33</v>
      </c>
      <c r="C5" s="2" t="s">
        <v>34</v>
      </c>
      <c r="D5" s="2">
        <v>580</v>
      </c>
      <c r="E5" s="4">
        <v>278</v>
      </c>
      <c r="F5" s="4">
        <v>4</v>
      </c>
      <c r="G5" s="6">
        <f t="shared" ref="G5:G15" si="0">(E5-F5)*D5</f>
        <v>158920</v>
      </c>
    </row>
    <row r="6" spans="1:7" x14ac:dyDescent="0.3">
      <c r="A6" s="14">
        <v>41299</v>
      </c>
      <c r="B6" s="2" t="s">
        <v>31</v>
      </c>
      <c r="C6" s="2" t="s">
        <v>34</v>
      </c>
      <c r="D6" s="2">
        <v>350</v>
      </c>
      <c r="E6" s="4">
        <v>349</v>
      </c>
      <c r="F6" s="4">
        <v>1</v>
      </c>
      <c r="G6" s="6">
        <f t="shared" si="0"/>
        <v>121800</v>
      </c>
    </row>
    <row r="7" spans="1:7" x14ac:dyDescent="0.3">
      <c r="A7" s="14">
        <v>41304</v>
      </c>
      <c r="B7" s="2" t="s">
        <v>33</v>
      </c>
      <c r="C7" s="2" t="s">
        <v>32</v>
      </c>
      <c r="D7" s="2">
        <v>580</v>
      </c>
      <c r="E7" s="4">
        <v>321</v>
      </c>
      <c r="F7" s="4">
        <v>7</v>
      </c>
      <c r="G7" s="6">
        <f t="shared" si="0"/>
        <v>182120</v>
      </c>
    </row>
    <row r="8" spans="1:7" x14ac:dyDescent="0.3">
      <c r="A8" s="14">
        <v>41310</v>
      </c>
      <c r="B8" s="2" t="s">
        <v>31</v>
      </c>
      <c r="C8" s="2" t="s">
        <v>32</v>
      </c>
      <c r="D8" s="2">
        <v>350</v>
      </c>
      <c r="E8" s="4">
        <v>546</v>
      </c>
      <c r="F8" s="4">
        <v>8</v>
      </c>
      <c r="G8" s="6">
        <f t="shared" si="0"/>
        <v>188300</v>
      </c>
    </row>
    <row r="9" spans="1:7" x14ac:dyDescent="0.3">
      <c r="A9" s="14">
        <v>41320</v>
      </c>
      <c r="B9" s="2" t="s">
        <v>31</v>
      </c>
      <c r="C9" s="2" t="s">
        <v>34</v>
      </c>
      <c r="D9" s="2">
        <v>350</v>
      </c>
      <c r="E9" s="4">
        <v>246</v>
      </c>
      <c r="F9" s="4">
        <v>2</v>
      </c>
      <c r="G9" s="6">
        <f t="shared" si="0"/>
        <v>85400</v>
      </c>
    </row>
    <row r="10" spans="1:7" x14ac:dyDescent="0.3">
      <c r="A10" s="14">
        <v>41323</v>
      </c>
      <c r="B10" s="2" t="s">
        <v>33</v>
      </c>
      <c r="C10" s="2" t="s">
        <v>34</v>
      </c>
      <c r="D10" s="2">
        <v>580</v>
      </c>
      <c r="E10" s="4">
        <v>531</v>
      </c>
      <c r="F10" s="4">
        <v>5</v>
      </c>
      <c r="G10" s="6">
        <f t="shared" si="0"/>
        <v>305080</v>
      </c>
    </row>
    <row r="11" spans="1:7" x14ac:dyDescent="0.3">
      <c r="A11" s="14">
        <v>41328</v>
      </c>
      <c r="B11" s="2" t="s">
        <v>31</v>
      </c>
      <c r="C11" s="2" t="s">
        <v>34</v>
      </c>
      <c r="D11" s="2">
        <v>350</v>
      </c>
      <c r="E11" s="4">
        <v>521</v>
      </c>
      <c r="F11" s="4">
        <v>3</v>
      </c>
      <c r="G11" s="6">
        <f t="shared" si="0"/>
        <v>181300</v>
      </c>
    </row>
    <row r="12" spans="1:7" x14ac:dyDescent="0.3">
      <c r="A12" s="14">
        <v>41335</v>
      </c>
      <c r="B12" s="2" t="s">
        <v>31</v>
      </c>
      <c r="C12" s="2" t="s">
        <v>32</v>
      </c>
      <c r="D12" s="2">
        <v>350</v>
      </c>
      <c r="E12" s="4">
        <v>321</v>
      </c>
      <c r="F12" s="4">
        <v>7</v>
      </c>
      <c r="G12" s="6">
        <f t="shared" si="0"/>
        <v>109900</v>
      </c>
    </row>
    <row r="13" spans="1:7" x14ac:dyDescent="0.3">
      <c r="A13" s="14">
        <v>41344</v>
      </c>
      <c r="B13" s="2" t="s">
        <v>33</v>
      </c>
      <c r="C13" s="2" t="s">
        <v>32</v>
      </c>
      <c r="D13" s="2">
        <v>580</v>
      </c>
      <c r="E13" s="4">
        <v>279</v>
      </c>
      <c r="F13" s="4">
        <v>5</v>
      </c>
      <c r="G13" s="6">
        <f t="shared" si="0"/>
        <v>158920</v>
      </c>
    </row>
    <row r="14" spans="1:7" x14ac:dyDescent="0.3">
      <c r="A14" s="14">
        <v>41346</v>
      </c>
      <c r="B14" s="2" t="s">
        <v>31</v>
      </c>
      <c r="C14" s="2" t="s">
        <v>32</v>
      </c>
      <c r="D14" s="2">
        <v>580</v>
      </c>
      <c r="E14" s="4">
        <v>391</v>
      </c>
      <c r="F14" s="4">
        <v>3</v>
      </c>
      <c r="G14" s="6">
        <f t="shared" si="0"/>
        <v>225040</v>
      </c>
    </row>
    <row r="15" spans="1:7" x14ac:dyDescent="0.3">
      <c r="A15" s="14">
        <v>41356</v>
      </c>
      <c r="B15" s="2" t="s">
        <v>33</v>
      </c>
      <c r="C15" s="2" t="s">
        <v>34</v>
      </c>
      <c r="D15" s="2">
        <v>580</v>
      </c>
      <c r="E15" s="4">
        <v>372</v>
      </c>
      <c r="F15" s="4">
        <v>2</v>
      </c>
      <c r="G15" s="6">
        <f t="shared" si="0"/>
        <v>214600</v>
      </c>
    </row>
  </sheetData>
  <mergeCells count="1">
    <mergeCell ref="A1:G1"/>
  </mergeCells>
  <phoneticPr fontId="2" type="noConversion"/>
  <pageMargins left="0.75" right="0.75" top="1" bottom="1" header="0.5" footer="0.5"/>
  <pageSetup paperSize="9" orientation="portrait" horizontalDpi="4294967292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workbookViewId="0">
      <selection sqref="A1:G1"/>
    </sheetView>
  </sheetViews>
  <sheetFormatPr defaultRowHeight="16.5" x14ac:dyDescent="0.3"/>
  <cols>
    <col min="1" max="7" width="9" style="1" customWidth="1"/>
    <col min="8" max="16384" width="9" style="1"/>
  </cols>
  <sheetData>
    <row r="1" spans="1:7" ht="20.25" x14ac:dyDescent="0.35">
      <c r="A1" s="18" t="s">
        <v>0</v>
      </c>
      <c r="B1" s="18"/>
      <c r="C1" s="18"/>
      <c r="D1" s="18"/>
      <c r="E1" s="18"/>
      <c r="F1" s="18"/>
      <c r="G1" s="18"/>
    </row>
    <row r="2" spans="1:7" s="3" customFormat="1" x14ac:dyDescent="0.3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</row>
    <row r="3" spans="1:7" x14ac:dyDescent="0.3">
      <c r="A3" s="2" t="s">
        <v>8</v>
      </c>
      <c r="B3" s="2" t="s">
        <v>9</v>
      </c>
      <c r="C3" s="2" t="s">
        <v>10</v>
      </c>
      <c r="D3" s="4">
        <v>20</v>
      </c>
      <c r="E3" s="4">
        <v>7</v>
      </c>
      <c r="F3" s="4">
        <v>70</v>
      </c>
      <c r="G3" s="4">
        <v>84.7</v>
      </c>
    </row>
    <row r="4" spans="1:7" x14ac:dyDescent="0.3">
      <c r="A4" s="2" t="s">
        <v>11</v>
      </c>
      <c r="B4" s="2" t="s">
        <v>12</v>
      </c>
      <c r="C4" s="2" t="s">
        <v>13</v>
      </c>
      <c r="D4" s="4">
        <v>4</v>
      </c>
      <c r="E4" s="4">
        <v>1</v>
      </c>
      <c r="F4" s="4">
        <v>80</v>
      </c>
      <c r="G4" s="4">
        <v>86.9</v>
      </c>
    </row>
    <row r="5" spans="1:7" x14ac:dyDescent="0.3">
      <c r="A5" s="2" t="s">
        <v>14</v>
      </c>
      <c r="B5" s="2" t="s">
        <v>15</v>
      </c>
      <c r="C5" s="2" t="s">
        <v>16</v>
      </c>
      <c r="D5" s="4">
        <v>2</v>
      </c>
      <c r="E5" s="4">
        <v>1</v>
      </c>
      <c r="F5" s="4">
        <v>75</v>
      </c>
      <c r="G5" s="4">
        <v>77</v>
      </c>
    </row>
    <row r="6" spans="1:7" x14ac:dyDescent="0.3">
      <c r="A6" s="2" t="s">
        <v>17</v>
      </c>
      <c r="B6" s="2" t="s">
        <v>18</v>
      </c>
      <c r="C6" s="2" t="s">
        <v>10</v>
      </c>
      <c r="D6" s="4">
        <v>10</v>
      </c>
      <c r="E6" s="4">
        <v>5</v>
      </c>
      <c r="F6" s="4">
        <v>74</v>
      </c>
      <c r="G6" s="4">
        <v>86.9</v>
      </c>
    </row>
    <row r="7" spans="1:7" x14ac:dyDescent="0.3">
      <c r="A7" s="2" t="s">
        <v>11</v>
      </c>
      <c r="B7" s="2" t="s">
        <v>19</v>
      </c>
      <c r="C7" s="2" t="s">
        <v>13</v>
      </c>
      <c r="D7" s="4">
        <v>23</v>
      </c>
      <c r="E7" s="4">
        <v>7</v>
      </c>
      <c r="F7" s="4">
        <v>60</v>
      </c>
      <c r="G7" s="4">
        <v>69.3</v>
      </c>
    </row>
    <row r="8" spans="1:7" x14ac:dyDescent="0.3">
      <c r="A8" s="2" t="s">
        <v>14</v>
      </c>
      <c r="B8" s="2" t="s">
        <v>20</v>
      </c>
      <c r="C8" s="2" t="s">
        <v>13</v>
      </c>
      <c r="D8" s="4">
        <v>35</v>
      </c>
      <c r="E8" s="4">
        <v>7</v>
      </c>
      <c r="F8" s="4">
        <v>59</v>
      </c>
      <c r="G8" s="4">
        <v>72.599999999999994</v>
      </c>
    </row>
    <row r="9" spans="1:7" x14ac:dyDescent="0.3">
      <c r="A9" s="2" t="s">
        <v>8</v>
      </c>
      <c r="B9" s="2" t="s">
        <v>21</v>
      </c>
      <c r="C9" s="2" t="s">
        <v>16</v>
      </c>
      <c r="D9" s="4">
        <v>8</v>
      </c>
      <c r="E9" s="4">
        <v>3</v>
      </c>
      <c r="F9" s="4">
        <v>64</v>
      </c>
      <c r="G9" s="4">
        <v>73.7</v>
      </c>
    </row>
    <row r="10" spans="1:7" x14ac:dyDescent="0.3">
      <c r="A10" s="2" t="s">
        <v>11</v>
      </c>
      <c r="B10" s="2" t="s">
        <v>22</v>
      </c>
      <c r="C10" s="2" t="s">
        <v>10</v>
      </c>
      <c r="D10" s="4">
        <v>9</v>
      </c>
      <c r="E10" s="4">
        <v>3</v>
      </c>
      <c r="F10" s="4">
        <v>78</v>
      </c>
      <c r="G10" s="4">
        <v>86.9</v>
      </c>
    </row>
    <row r="11" spans="1:7" s="5" customFormat="1" x14ac:dyDescent="0.3">
      <c r="A11" s="19"/>
      <c r="B11" s="19"/>
      <c r="C11" s="19"/>
    </row>
  </sheetData>
  <mergeCells count="2">
    <mergeCell ref="A1:G1"/>
    <mergeCell ref="A11:C11"/>
  </mergeCells>
  <phoneticPr fontId="2" type="noConversion"/>
  <pageMargins left="0.75" right="0.75" top="1" bottom="1" header="0.5" footer="0.5"/>
  <pageSetup paperSize="9" orientation="portrait" horizontalDpi="4294967292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>길벗R&amp;D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Windows User</cp:lastModifiedBy>
  <dcterms:created xsi:type="dcterms:W3CDTF">2011-06-14T09:26:12Z</dcterms:created>
  <dcterms:modified xsi:type="dcterms:W3CDTF">2018-12-13T06:35:21Z</dcterms:modified>
</cp:coreProperties>
</file>