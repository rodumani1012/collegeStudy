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17\Downloads\"/>
    </mc:Choice>
  </mc:AlternateContent>
  <bookViews>
    <workbookView xWindow="0" yWindow="0" windowWidth="21600" windowHeight="9690" activeTab="1"/>
  </bookViews>
  <sheets>
    <sheet name="시나리오 요약" sheetId="7" r:id="rId1"/>
    <sheet name="무작정따라하기" sheetId="4" r:id="rId2"/>
    <sheet name="기출01" sheetId="5" r:id="rId3"/>
    <sheet name="기출02" sheetId="6" r:id="rId4"/>
  </sheets>
  <definedNames>
    <definedName name="A반품수량">무작정따라하기!$E$5</definedName>
    <definedName name="B반품수량">무작정따라하기!$E$6</definedName>
    <definedName name="매출액합계">무작정따라하기!$H$15</definedName>
  </definedNames>
  <calcPr calcId="152511"/>
</workbook>
</file>

<file path=xl/calcChain.xml><?xml version="1.0" encoding="utf-8"?>
<calcChain xmlns="http://schemas.openxmlformats.org/spreadsheetml/2006/main">
  <c r="B6" i="6" l="1"/>
  <c r="B8" i="6" s="1"/>
  <c r="B9" i="6" s="1"/>
  <c r="C7" i="5"/>
  <c r="F14" i="4"/>
  <c r="H14" i="4" s="1"/>
  <c r="G14" i="4" s="1"/>
  <c r="F13" i="4"/>
  <c r="H13" i="4" s="1"/>
  <c r="G13" i="4" s="1"/>
  <c r="F12" i="4"/>
  <c r="H12" i="4" s="1"/>
  <c r="G12" i="4" s="1"/>
  <c r="F11" i="4"/>
  <c r="H11" i="4" s="1"/>
  <c r="G11" i="4" s="1"/>
  <c r="F10" i="4"/>
  <c r="H10" i="4" s="1"/>
  <c r="G10" i="4" s="1"/>
  <c r="F9" i="4"/>
  <c r="H9" i="4" s="1"/>
  <c r="G9" i="4" s="1"/>
  <c r="F8" i="4"/>
  <c r="H8" i="4" s="1"/>
  <c r="G8" i="4" s="1"/>
  <c r="F7" i="4"/>
  <c r="H7" i="4" s="1"/>
  <c r="G7" i="4" s="1"/>
  <c r="F6" i="4"/>
  <c r="H6" i="4" s="1"/>
  <c r="G6" i="4" s="1"/>
  <c r="F5" i="4"/>
  <c r="H5" i="4" s="1"/>
  <c r="G5" i="4" l="1"/>
  <c r="H15" i="4"/>
</calcChain>
</file>

<file path=xl/sharedStrings.xml><?xml version="1.0" encoding="utf-8"?>
<sst xmlns="http://schemas.openxmlformats.org/spreadsheetml/2006/main" count="49" uniqueCount="48">
  <si>
    <t>항목</t>
  </si>
  <si>
    <t>금액</t>
  </si>
  <si>
    <t>매출액</t>
  </si>
  <si>
    <t>제조원가</t>
  </si>
  <si>
    <t>영업이익</t>
  </si>
  <si>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</si>
  <si>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</si>
  <si>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</si>
  <si>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</si>
  <si>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</si>
  <si>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</si>
  <si>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</si>
  <si>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</si>
  <si>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매출액합계</t>
    <phoneticPr fontId="3" type="noConversion"/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</si>
  <si>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</si>
  <si>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</si>
  <si>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</si>
  <si>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</si>
  <si>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</si>
  <si>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</si>
  <si>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</si>
  <si>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</si>
  <si>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</si>
  <si>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</si>
  <si>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</si>
  <si>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</si>
  <si>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</si>
  <si>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</si>
  <si>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</si>
  <si>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</si>
  <si>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</si>
  <si>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</si>
  <si>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</si>
  <si>
    <t>E5셀에 이름 상자를 'A반품수량'으로 변경. E6은 'B반품수량'으로. H15는 매출액합계 로 변경</t>
    <phoneticPr fontId="2" type="noConversion"/>
  </si>
  <si>
    <t>데이터 -&gt; 가상분석 -&gt; 시나리오 관리자 -&gt; 추가</t>
    <phoneticPr fontId="2" type="noConversion"/>
  </si>
  <si>
    <t>A반품수량</t>
  </si>
  <si>
    <t>B반품수량</t>
  </si>
  <si>
    <t>매출액합계</t>
  </si>
  <si>
    <t>수익률의 증가</t>
  </si>
  <si>
    <t>만든 사람 Windows User 날짜 2018-11-22</t>
  </si>
  <si>
    <t>수익률의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</si>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</sst>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16" x14ac:knownFonts="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4"/>
      <color indexed="9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indexed="18"/>
      <name val="맑은 고딕"/>
      <family val="2"/>
      <charset val="129"/>
    </font>
    <font>
      <sz val="11"/>
      <color indexed="18"/>
      <name val="맑은 고딕"/>
      <family val="3"/>
      <charset val="129"/>
    </font>
    <font>
      <sz val="10"/>
      <color theme="1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45">
    <xf numFmtId="0" fontId="0" fillId="0" borderId="0" xfId="0">
      <alignment vertical="center"/>
    </xf>
    <xf numFmtId="0" fontId="5" fillId="0" borderId="0" xfId="1" applyFont="1"/>
    <xf numFmtId="0" fontId="6" fillId="2" borderId="1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9" fontId="7" fillId="0" borderId="5" xfId="2" applyFont="1" applyBorder="1" applyAlignment="1">
      <alignment horizontal="center"/>
    </xf>
    <xf numFmtId="9" fontId="7" fillId="0" borderId="7" xfId="2" applyFont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176" fontId="5" fillId="3" borderId="9" xfId="1" applyNumberFormat="1" applyFont="1" applyFill="1" applyBorder="1"/>
    <xf numFmtId="0" fontId="5" fillId="3" borderId="5" xfId="1" applyNumberFormat="1" applyFont="1" applyFill="1" applyBorder="1" applyAlignment="1">
      <alignment horizontal="center"/>
    </xf>
    <xf numFmtId="0" fontId="5" fillId="0" borderId="5" xfId="1" applyNumberFormat="1" applyFont="1" applyBorder="1" applyAlignment="1">
      <alignment horizontal="distributed"/>
    </xf>
    <xf numFmtId="41" fontId="5" fillId="0" borderId="5" xfId="4" applyFont="1" applyBorder="1" applyAlignment="1"/>
    <xf numFmtId="178" fontId="5" fillId="0" borderId="5" xfId="2" applyNumberFormat="1" applyFont="1" applyBorder="1" applyAlignment="1"/>
    <xf numFmtId="0" fontId="9" fillId="0" borderId="3" xfId="1" applyFont="1" applyFill="1" applyBorder="1" applyAlignment="1">
      <alignment horizontal="center"/>
    </xf>
    <xf numFmtId="176" fontId="9" fillId="0" borderId="3" xfId="1" applyNumberFormat="1" applyFont="1" applyFill="1" applyBorder="1" applyAlignment="1">
      <alignment horizontal="right"/>
    </xf>
    <xf numFmtId="176" fontId="9" fillId="0" borderId="4" xfId="1" applyNumberFormat="1" applyFont="1" applyFill="1" applyBorder="1" applyAlignment="1">
      <alignment horizontal="right"/>
    </xf>
    <xf numFmtId="176" fontId="5" fillId="0" borderId="5" xfId="1" applyNumberFormat="1" applyFont="1" applyBorder="1" applyAlignment="1">
      <alignment horizontal="right"/>
    </xf>
    <xf numFmtId="176" fontId="5" fillId="0" borderId="6" xfId="1" applyNumberFormat="1" applyFont="1" applyBorder="1" applyAlignment="1">
      <alignment horizontal="right"/>
    </xf>
    <xf numFmtId="0" fontId="9" fillId="0" borderId="5" xfId="1" applyFont="1" applyFill="1" applyBorder="1" applyAlignment="1">
      <alignment horizontal="center"/>
    </xf>
    <xf numFmtId="176" fontId="9" fillId="0" borderId="5" xfId="1" applyNumberFormat="1" applyFont="1" applyFill="1" applyBorder="1" applyAlignment="1">
      <alignment horizontal="right"/>
    </xf>
    <xf numFmtId="176" fontId="5" fillId="0" borderId="7" xfId="1" applyNumberFormat="1" applyFont="1" applyBorder="1" applyAlignment="1">
      <alignment horizontal="right"/>
    </xf>
    <xf numFmtId="0" fontId="5" fillId="0" borderId="0" xfId="3" applyFont="1"/>
    <xf numFmtId="0" fontId="5" fillId="0" borderId="0" xfId="3" applyFont="1" applyAlignment="1">
      <alignment vertical="center"/>
    </xf>
    <xf numFmtId="0" fontId="5" fillId="4" borderId="5" xfId="3" applyFont="1" applyFill="1" applyBorder="1" applyAlignment="1">
      <alignment vertical="center"/>
    </xf>
    <xf numFmtId="177" fontId="5" fillId="0" borderId="5" xfId="3" applyNumberFormat="1" applyFont="1" applyBorder="1" applyAlignment="1">
      <alignment vertical="center"/>
    </xf>
    <xf numFmtId="10" fontId="5" fillId="0" borderId="5" xfId="2" applyNumberFormat="1" applyFont="1" applyBorder="1" applyAlignment="1">
      <alignment vertical="center"/>
    </xf>
    <xf numFmtId="0" fontId="5" fillId="0" borderId="5" xfId="3" applyFont="1" applyBorder="1" applyAlignment="1">
      <alignment vertical="center"/>
    </xf>
    <xf numFmtId="6" fontId="5" fillId="0" borderId="5" xfId="3" applyNumberFormat="1" applyFont="1" applyBorder="1" applyAlignment="1">
      <alignment vertical="center"/>
    </xf>
    <xf numFmtId="0" fontId="5" fillId="4" borderId="10" xfId="3" applyFont="1" applyFill="1" applyBorder="1" applyAlignment="1">
      <alignment horizontal="center" vertical="center"/>
    </xf>
    <xf numFmtId="0" fontId="5" fillId="4" borderId="11" xfId="3" applyFont="1" applyFill="1" applyBorder="1" applyAlignment="1">
      <alignment horizontal="center" vertical="center"/>
    </xf>
    <xf numFmtId="0" fontId="8" fillId="5" borderId="0" xfId="1" applyFont="1" applyFill="1" applyAlignment="1">
      <alignment horizont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0" borderId="13" xfId="0" applyNumberFormat="1" applyFill="1" applyBorder="1" applyAlignment="1">
      <alignment vertical="center"/>
    </xf>
    <xf numFmtId="0" fontId="11" fillId="6" borderId="14" xfId="0" applyFont="1" applyFill="1" applyBorder="1" applyAlignment="1">
      <alignment horizontal="left" vertical="center"/>
    </xf>
    <xf numFmtId="0" fontId="10" fillId="6" borderId="12" xfId="0" applyFont="1" applyFill="1" applyBorder="1" applyAlignment="1">
      <alignment horizontal="left" vertical="center"/>
    </xf>
    <xf numFmtId="0" fontId="11" fillId="6" borderId="12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2" fillId="7" borderId="0" xfId="0" applyFont="1" applyFill="1" applyBorder="1" applyAlignment="1">
      <alignment horizontal="left" vertical="center"/>
    </xf>
    <xf numFmtId="0" fontId="13" fillId="7" borderId="15" xfId="0" applyFont="1" applyFill="1" applyBorder="1" applyAlignment="1">
      <alignment horizontal="left" vertical="center"/>
    </xf>
    <xf numFmtId="0" fontId="14" fillId="7" borderId="15" xfId="0" applyFont="1" applyFill="1" applyBorder="1" applyAlignment="1">
      <alignment horizontal="left" vertical="center"/>
    </xf>
    <xf numFmtId="0" fontId="12" fillId="7" borderId="13" xfId="0" applyFont="1" applyFill="1" applyBorder="1" applyAlignment="1">
      <alignment horizontal="left" vertical="center"/>
    </xf>
    <xf numFmtId="0" fontId="10" fillId="6" borderId="12" xfId="0" applyFont="1" applyFill="1" applyBorder="1" applyAlignment="1">
      <alignment horizontal="right" vertical="center"/>
    </xf>
    <xf numFmtId="0" fontId="10" fillId="6" borderId="14" xfId="0" applyFont="1" applyFill="1" applyBorder="1" applyAlignment="1">
      <alignment horizontal="right" vertical="center"/>
    </xf>
    <xf numFmtId="176" fontId="0" fillId="8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</cellXfs>
  <cellStyles count="5">
    <cellStyle name="백분율 2" xfId="2"/>
    <cellStyle name="쉼표 [0] 2" xfId="4"/>
    <cellStyle name="표준" xfId="0" builtinId="0"/>
    <cellStyle name="표준 2" xfId="1"/>
    <cellStyle name="표준_문제02(데이터)-김상수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/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strike="noStrike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  <xdr:twoCellAnchor editAs="oneCell">
    <xdr:from>
      <xdr:col>0</xdr:col>
      <xdr:colOff>64213</xdr:colOff>
      <xdr:row>20</xdr:row>
      <xdr:rowOff>64213</xdr:rowOff>
    </xdr:from>
    <xdr:to>
      <xdr:col>5</xdr:col>
      <xdr:colOff>80626</xdr:colOff>
      <xdr:row>36</xdr:row>
      <xdr:rowOff>173762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13" y="4345112"/>
          <a:ext cx="4115374" cy="3534268"/>
        </a:xfrm>
        <a:prstGeom prst="rect">
          <a:avLst/>
        </a:prstGeom>
      </xdr:spPr>
    </xdr:pic>
    <xdr:clientData/>
  </xdr:twoCellAnchor>
  <xdr:twoCellAnchor editAs="oneCell">
    <xdr:from>
      <xdr:col>5</xdr:col>
      <xdr:colOff>96488</xdr:colOff>
      <xdr:row>20</xdr:row>
      <xdr:rowOff>85785</xdr:rowOff>
    </xdr:from>
    <xdr:to>
      <xdr:col>8</xdr:col>
      <xdr:colOff>380444</xdr:colOff>
      <xdr:row>30</xdr:row>
      <xdr:rowOff>184023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5449" y="4366684"/>
          <a:ext cx="3248478" cy="2238687"/>
        </a:xfrm>
        <a:prstGeom prst="rect">
          <a:avLst/>
        </a:prstGeom>
      </xdr:spPr>
    </xdr:pic>
    <xdr:clientData/>
  </xdr:twoCellAnchor>
  <xdr:twoCellAnchor editAs="oneCell">
    <xdr:from>
      <xdr:col>9</xdr:col>
      <xdr:colOff>43146</xdr:colOff>
      <xdr:row>20</xdr:row>
      <xdr:rowOff>53849</xdr:rowOff>
    </xdr:from>
    <xdr:to>
      <xdr:col>13</xdr:col>
      <xdr:colOff>342270</xdr:colOff>
      <xdr:row>38</xdr:row>
      <xdr:rowOff>68730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1910" y="4334748"/>
          <a:ext cx="3038899" cy="3867690"/>
        </a:xfrm>
        <a:prstGeom prst="rect">
          <a:avLst/>
        </a:prstGeom>
      </xdr:spPr>
    </xdr:pic>
    <xdr:clientData/>
  </xdr:twoCellAnchor>
  <xdr:twoCellAnchor editAs="oneCell">
    <xdr:from>
      <xdr:col>13</xdr:col>
      <xdr:colOff>428596</xdr:colOff>
      <xdr:row>20</xdr:row>
      <xdr:rowOff>32613</xdr:rowOff>
    </xdr:from>
    <xdr:to>
      <xdr:col>16</xdr:col>
      <xdr:colOff>583872</xdr:colOff>
      <xdr:row>29</xdr:row>
      <xdr:rowOff>11475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7135" y="4313512"/>
          <a:ext cx="2210108" cy="1905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3.75" bestFit="1" customWidth="1" outlineLevel="1"/>
  </cols>
  <sheetData>
    <row r="1" spans="2:6" ht="17.25" thickBot="1" x14ac:dyDescent="0.35"/>
    <row r="2" spans="2:6" x14ac:dyDescent="0.3">
      <c r="B2" s="34" t="s">
        <v>41</v>
      </c>
      <c r="C2" s="35"/>
      <c r="D2" s="41"/>
      <c r="E2" s="41"/>
      <c r="F2" s="41"/>
    </row>
    <row r="3" spans="2:6" collapsed="1" x14ac:dyDescent="0.3">
      <c r="B3" s="33"/>
      <c r="C3" s="33"/>
      <c r="D3" s="42" t="s">
        <v>43</v>
      </c>
      <c r="E3" s="42" t="s">
        <v>38</v>
      </c>
      <c r="F3" s="42" t="s">
        <v>40</v>
      </c>
    </row>
    <row r="4" spans="2:6" ht="40.5" hidden="1" outlineLevel="1" x14ac:dyDescent="0.3">
      <c r="B4" s="37"/>
      <c r="C4" s="37"/>
      <c r="D4" s="30"/>
      <c r="E4" s="44" t="s">
        <v>39</v>
      </c>
      <c r="F4" s="44" t="s">
        <v>39</v>
      </c>
    </row>
    <row r="5" spans="2:6" x14ac:dyDescent="0.3">
      <c r="B5" s="38" t="s">
        <v>42</v>
      </c>
      <c r="C5" s="39"/>
      <c r="D5" s="36"/>
      <c r="E5" s="36"/>
      <c r="F5" s="36"/>
    </row>
    <row r="6" spans="2:6" outlineLevel="1" x14ac:dyDescent="0.3">
      <c r="B6" s="37"/>
      <c r="C6" s="37" t="s">
        <v>35</v>
      </c>
      <c r="D6" s="31">
        <v>19</v>
      </c>
      <c r="E6" s="43">
        <v>9</v>
      </c>
      <c r="F6" s="43">
        <v>29</v>
      </c>
    </row>
    <row r="7" spans="2:6" outlineLevel="1" x14ac:dyDescent="0.3">
      <c r="B7" s="37"/>
      <c r="C7" s="37" t="s">
        <v>36</v>
      </c>
      <c r="D7" s="31">
        <v>31</v>
      </c>
      <c r="E7" s="43">
        <v>21</v>
      </c>
      <c r="F7" s="43">
        <v>41</v>
      </c>
    </row>
    <row r="8" spans="2:6" x14ac:dyDescent="0.3">
      <c r="B8" s="38" t="s">
        <v>44</v>
      </c>
      <c r="C8" s="39"/>
      <c r="D8" s="36"/>
      <c r="E8" s="36"/>
      <c r="F8" s="36"/>
    </row>
    <row r="9" spans="2:6" ht="17.25" outlineLevel="1" thickBot="1" x14ac:dyDescent="0.35">
      <c r="B9" s="40"/>
      <c r="C9" s="40" t="s">
        <v>37</v>
      </c>
      <c r="D9" s="32">
        <v>6693900</v>
      </c>
      <c r="E9" s="32">
        <v>6754900</v>
      </c>
      <c r="F9" s="32">
        <v>6632900</v>
      </c>
    </row>
    <row r="10" spans="2:6" x14ac:dyDescent="0.3">
      <c r="B10" t="s">
        <v>45</v>
      </c>
    </row>
    <row r="11" spans="2:6" x14ac:dyDescent="0.3">
      <c r="B11" t="s">
        <v>46</v>
      </c>
    </row>
    <row r="12" spans="2:6" x14ac:dyDescent="0.3">
      <c r="B12" t="s">
        <v>47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0"/>
  <sheetViews>
    <sheetView tabSelected="1" zoomScale="89" zoomScaleNormal="89" workbookViewId="0">
      <selection activeCell="K5" sqref="K5"/>
    </sheetView>
  </sheetViews>
  <sheetFormatPr defaultRowHeight="16.5" x14ac:dyDescent="0.3"/>
  <cols>
    <col min="1" max="1" width="9.875" style="1" customWidth="1"/>
    <col min="2" max="2" width="12.125" style="1" customWidth="1"/>
    <col min="3" max="3" width="11" style="1" bestFit="1" customWidth="1"/>
    <col min="4" max="4" width="9" style="1"/>
    <col min="5" max="5" width="11.875" style="1" customWidth="1"/>
    <col min="6" max="6" width="13.375" style="1" customWidth="1"/>
    <col min="7" max="7" width="11.625" style="1" customWidth="1"/>
    <col min="8" max="8" width="13.875" style="1" customWidth="1"/>
    <col min="9" max="9" width="5" style="1" customWidth="1"/>
    <col min="10" max="16384" width="9" style="1"/>
  </cols>
  <sheetData>
    <row r="3" spans="1:8" ht="17.25" thickBot="1" x14ac:dyDescent="0.35"/>
    <row r="4" spans="1:8" ht="17.25" thickBot="1" x14ac:dyDescent="0.35">
      <c r="A4" s="2" t="s">
        <v>5</v>
      </c>
      <c r="B4" s="2" t="s">
        <v>6</v>
      </c>
      <c r="C4" s="2" t="s">
        <v>7</v>
      </c>
      <c r="D4" s="2" t="s">
        <v>8</v>
      </c>
      <c r="E4" s="2" t="s">
        <v>9</v>
      </c>
      <c r="F4" s="2" t="s">
        <v>10</v>
      </c>
      <c r="G4" s="2" t="s">
        <v>11</v>
      </c>
      <c r="H4" s="3" t="s">
        <v>12</v>
      </c>
    </row>
    <row r="5" spans="1:8" x14ac:dyDescent="0.3">
      <c r="A5" s="12">
        <v>2657</v>
      </c>
      <c r="B5" s="12" t="s">
        <v>18</v>
      </c>
      <c r="C5" s="13">
        <v>2600</v>
      </c>
      <c r="D5" s="13">
        <v>240</v>
      </c>
      <c r="E5" s="14">
        <v>19</v>
      </c>
      <c r="F5" s="15">
        <f>C5*D5</f>
        <v>624000</v>
      </c>
      <c r="G5" s="4">
        <f>H5/F5</f>
        <v>0.92083333333333328</v>
      </c>
      <c r="H5" s="16">
        <f>F5-(C5*E5)</f>
        <v>574600</v>
      </c>
    </row>
    <row r="6" spans="1:8" x14ac:dyDescent="0.3">
      <c r="A6" s="17">
        <v>4284</v>
      </c>
      <c r="B6" s="17" t="s">
        <v>19</v>
      </c>
      <c r="C6" s="18">
        <v>3500</v>
      </c>
      <c r="D6" s="18">
        <v>154</v>
      </c>
      <c r="E6" s="18">
        <v>31</v>
      </c>
      <c r="F6" s="15">
        <f t="shared" ref="F6:F14" si="0">C6*D6</f>
        <v>539000</v>
      </c>
      <c r="G6" s="4">
        <f>H6/F6</f>
        <v>0.79870129870129869</v>
      </c>
      <c r="H6" s="15">
        <f>F6-(C6*E6)</f>
        <v>430500</v>
      </c>
    </row>
    <row r="7" spans="1:8" x14ac:dyDescent="0.3">
      <c r="A7" s="17">
        <v>3541</v>
      </c>
      <c r="B7" s="17" t="s">
        <v>20</v>
      </c>
      <c r="C7" s="18">
        <v>4200</v>
      </c>
      <c r="D7" s="18">
        <v>209</v>
      </c>
      <c r="E7" s="18">
        <v>22</v>
      </c>
      <c r="F7" s="15">
        <f t="shared" si="0"/>
        <v>877800</v>
      </c>
      <c r="G7" s="4">
        <f t="shared" ref="G7:G14" si="1">H7/F7</f>
        <v>0.89473684210526316</v>
      </c>
      <c r="H7" s="15">
        <f t="shared" ref="H7:H14" si="2">F7-(C7*E7)</f>
        <v>785400</v>
      </c>
    </row>
    <row r="8" spans="1:8" x14ac:dyDescent="0.3">
      <c r="A8" s="17">
        <v>2875</v>
      </c>
      <c r="B8" s="17" t="s">
        <v>21</v>
      </c>
      <c r="C8" s="18">
        <v>1800</v>
      </c>
      <c r="D8" s="18">
        <v>452</v>
      </c>
      <c r="E8" s="18">
        <v>26</v>
      </c>
      <c r="F8" s="15">
        <f t="shared" si="0"/>
        <v>813600</v>
      </c>
      <c r="G8" s="4">
        <f t="shared" si="1"/>
        <v>0.94247787610619471</v>
      </c>
      <c r="H8" s="15">
        <f t="shared" si="2"/>
        <v>766800</v>
      </c>
    </row>
    <row r="9" spans="1:8" x14ac:dyDescent="0.3">
      <c r="A9" s="17">
        <v>3016</v>
      </c>
      <c r="B9" s="17" t="s">
        <v>22</v>
      </c>
      <c r="C9" s="18">
        <v>2200</v>
      </c>
      <c r="D9" s="18">
        <v>321</v>
      </c>
      <c r="E9" s="18">
        <v>13</v>
      </c>
      <c r="F9" s="15">
        <f t="shared" si="0"/>
        <v>706200</v>
      </c>
      <c r="G9" s="4">
        <f t="shared" si="1"/>
        <v>0.95950155763239875</v>
      </c>
      <c r="H9" s="15">
        <f t="shared" si="2"/>
        <v>677600</v>
      </c>
    </row>
    <row r="10" spans="1:8" x14ac:dyDescent="0.3">
      <c r="A10" s="17">
        <v>4250</v>
      </c>
      <c r="B10" s="17" t="s">
        <v>23</v>
      </c>
      <c r="C10" s="18">
        <v>5400</v>
      </c>
      <c r="D10" s="18">
        <v>120</v>
      </c>
      <c r="E10" s="18">
        <v>48</v>
      </c>
      <c r="F10" s="15">
        <f t="shared" si="0"/>
        <v>648000</v>
      </c>
      <c r="G10" s="4">
        <f t="shared" si="1"/>
        <v>0.6</v>
      </c>
      <c r="H10" s="15">
        <f t="shared" si="2"/>
        <v>388800</v>
      </c>
    </row>
    <row r="11" spans="1:8" x14ac:dyDescent="0.3">
      <c r="A11" s="17">
        <v>2586</v>
      </c>
      <c r="B11" s="17" t="s">
        <v>24</v>
      </c>
      <c r="C11" s="18">
        <v>2800</v>
      </c>
      <c r="D11" s="18">
        <v>410</v>
      </c>
      <c r="E11" s="18">
        <v>35</v>
      </c>
      <c r="F11" s="15">
        <f t="shared" si="0"/>
        <v>1148000</v>
      </c>
      <c r="G11" s="4">
        <f t="shared" si="1"/>
        <v>0.91463414634146345</v>
      </c>
      <c r="H11" s="15">
        <f t="shared" si="2"/>
        <v>1050000</v>
      </c>
    </row>
    <row r="12" spans="1:8" x14ac:dyDescent="0.3">
      <c r="A12" s="17">
        <v>1462</v>
      </c>
      <c r="B12" s="17" t="s">
        <v>25</v>
      </c>
      <c r="C12" s="18">
        <v>3600</v>
      </c>
      <c r="D12" s="18">
        <v>215</v>
      </c>
      <c r="E12" s="18">
        <v>106</v>
      </c>
      <c r="F12" s="15">
        <f t="shared" si="0"/>
        <v>774000</v>
      </c>
      <c r="G12" s="4">
        <f t="shared" si="1"/>
        <v>0.50697674418604655</v>
      </c>
      <c r="H12" s="15">
        <f t="shared" si="2"/>
        <v>392400</v>
      </c>
    </row>
    <row r="13" spans="1:8" x14ac:dyDescent="0.3">
      <c r="A13" s="17">
        <v>2253</v>
      </c>
      <c r="B13" s="17" t="s">
        <v>26</v>
      </c>
      <c r="C13" s="18">
        <v>4500</v>
      </c>
      <c r="D13" s="18">
        <v>325</v>
      </c>
      <c r="E13" s="18">
        <v>87</v>
      </c>
      <c r="F13" s="15">
        <f t="shared" si="0"/>
        <v>1462500</v>
      </c>
      <c r="G13" s="4">
        <f t="shared" si="1"/>
        <v>0.73230769230769233</v>
      </c>
      <c r="H13" s="15">
        <f t="shared" si="2"/>
        <v>1071000</v>
      </c>
    </row>
    <row r="14" spans="1:8" ht="17.25" thickBot="1" x14ac:dyDescent="0.35">
      <c r="A14" s="17">
        <v>2028</v>
      </c>
      <c r="B14" s="17" t="s">
        <v>27</v>
      </c>
      <c r="C14" s="18">
        <v>3200</v>
      </c>
      <c r="D14" s="18">
        <v>248</v>
      </c>
      <c r="E14" s="18">
        <v>74</v>
      </c>
      <c r="F14" s="15">
        <f t="shared" si="0"/>
        <v>793600</v>
      </c>
      <c r="G14" s="5">
        <f t="shared" si="1"/>
        <v>0.70161290322580649</v>
      </c>
      <c r="H14" s="19">
        <f t="shared" si="2"/>
        <v>556800</v>
      </c>
    </row>
    <row r="15" spans="1:8" ht="17.25" thickBot="1" x14ac:dyDescent="0.35">
      <c r="G15" s="6" t="s">
        <v>13</v>
      </c>
      <c r="H15" s="7">
        <f>SUM(H5:H14)</f>
        <v>6693900</v>
      </c>
    </row>
    <row r="19" spans="2:2" x14ac:dyDescent="0.3">
      <c r="B19" s="1" t="s">
        <v>33</v>
      </c>
    </row>
    <row r="20" spans="2:2" x14ac:dyDescent="0.3">
      <c r="B20" s="1" t="s">
        <v>34</v>
      </c>
    </row>
  </sheetData>
  <scenarios current="1" sqref="H15">
    <scenario name="수익률의 증가" locked="1" count="2" user="Windows User" comment="만든 사람 Windows User 날짜 2018-11-22">
      <inputCells r="E5" val="9" numFmtId="176"/>
      <inputCells r="E6" val="21" numFmtId="176"/>
    </scenario>
    <scenario name="수익률의 감소" locked="1" count="2" user="Windows User" comment="만든 사람 Windows User 날짜 2018-11-22">
      <inputCells r="E5" val="29" numFmtId="176"/>
      <inputCells r="E6" val="41" numFmtId="176"/>
    </scenario>
  </scenarios>
  <phoneticPr fontId="2" type="noConversion"/>
  <pageMargins left="0.75" right="0.75" top="1" bottom="1" header="0.5" footer="0.5"/>
  <pageSetup paperSize="9" orientation="portrait" horizont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/>
  </sheetViews>
  <sheetFormatPr defaultRowHeight="16.5" x14ac:dyDescent="0.3"/>
  <cols>
    <col min="1" max="1" width="9" style="1"/>
    <col min="2" max="2" width="12.375" style="1" bestFit="1" customWidth="1"/>
    <col min="3" max="3" width="10.625" style="1" bestFit="1" customWidth="1"/>
    <col min="4" max="5" width="9" style="1"/>
    <col min="6" max="6" width="11.125" style="1" bestFit="1" customWidth="1"/>
    <col min="7" max="16384" width="9" style="1"/>
  </cols>
  <sheetData>
    <row r="1" spans="1:4" x14ac:dyDescent="0.3">
      <c r="A1" s="20"/>
      <c r="B1" s="20"/>
      <c r="C1" s="20"/>
      <c r="D1" s="20"/>
    </row>
    <row r="2" spans="1:4" x14ac:dyDescent="0.3">
      <c r="A2" s="20"/>
      <c r="B2" s="27" t="s">
        <v>28</v>
      </c>
      <c r="C2" s="28"/>
      <c r="D2" s="20"/>
    </row>
    <row r="3" spans="1:4" x14ac:dyDescent="0.3">
      <c r="A3" s="20"/>
      <c r="B3" s="21"/>
      <c r="C3" s="21"/>
      <c r="D3" s="20"/>
    </row>
    <row r="4" spans="1:4" x14ac:dyDescent="0.3">
      <c r="A4" s="20"/>
      <c r="B4" s="22" t="s">
        <v>29</v>
      </c>
      <c r="C4" s="23">
        <v>250000</v>
      </c>
      <c r="D4" s="20"/>
    </row>
    <row r="5" spans="1:4" x14ac:dyDescent="0.3">
      <c r="A5" s="20"/>
      <c r="B5" s="22" t="s">
        <v>30</v>
      </c>
      <c r="C5" s="24">
        <v>0.1075</v>
      </c>
      <c r="D5" s="20"/>
    </row>
    <row r="6" spans="1:4" x14ac:dyDescent="0.3">
      <c r="A6" s="20"/>
      <c r="B6" s="22" t="s">
        <v>31</v>
      </c>
      <c r="C6" s="25">
        <v>2</v>
      </c>
      <c r="D6" s="20"/>
    </row>
    <row r="7" spans="1:4" x14ac:dyDescent="0.3">
      <c r="A7" s="20"/>
      <c r="B7" s="22" t="s">
        <v>32</v>
      </c>
      <c r="C7" s="26">
        <f>FV($C$5/12,$C$6*12,-$C$4,0)</f>
        <v>6660712.6162617523</v>
      </c>
      <c r="D7" s="20"/>
    </row>
    <row r="8" spans="1:4" x14ac:dyDescent="0.3">
      <c r="A8" s="20"/>
      <c r="B8" s="20"/>
      <c r="C8" s="20"/>
      <c r="D8" s="20"/>
    </row>
  </sheetData>
  <mergeCells count="1">
    <mergeCell ref="B2:C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workbookViewId="0">
      <selection sqref="A1:B1"/>
    </sheetView>
  </sheetViews>
  <sheetFormatPr defaultRowHeight="16.5" x14ac:dyDescent="0.3"/>
  <cols>
    <col min="1" max="1" width="11.5" style="1" customWidth="1"/>
    <col min="2" max="2" width="16" style="1" customWidth="1"/>
    <col min="3" max="16384" width="9" style="1"/>
  </cols>
  <sheetData>
    <row r="1" spans="1:2" ht="20.25" x14ac:dyDescent="0.35">
      <c r="A1" s="29" t="s">
        <v>14</v>
      </c>
      <c r="B1" s="29"/>
    </row>
    <row r="3" spans="1:2" x14ac:dyDescent="0.3">
      <c r="A3" s="8" t="s">
        <v>0</v>
      </c>
      <c r="B3" s="8" t="s">
        <v>1</v>
      </c>
    </row>
    <row r="4" spans="1:2" x14ac:dyDescent="0.3">
      <c r="A4" s="9" t="s">
        <v>15</v>
      </c>
      <c r="B4" s="10">
        <v>1500</v>
      </c>
    </row>
    <row r="5" spans="1:2" x14ac:dyDescent="0.3">
      <c r="A5" s="9" t="s">
        <v>16</v>
      </c>
      <c r="B5" s="10">
        <v>52000</v>
      </c>
    </row>
    <row r="6" spans="1:2" x14ac:dyDescent="0.3">
      <c r="A6" s="9" t="s">
        <v>2</v>
      </c>
      <c r="B6" s="10">
        <f>B5*B4</f>
        <v>78000000</v>
      </c>
    </row>
    <row r="7" spans="1:2" x14ac:dyDescent="0.3">
      <c r="A7" s="9" t="s">
        <v>3</v>
      </c>
      <c r="B7" s="10">
        <v>58461000</v>
      </c>
    </row>
    <row r="8" spans="1:2" x14ac:dyDescent="0.3">
      <c r="A8" s="9" t="s">
        <v>4</v>
      </c>
      <c r="B8" s="10">
        <f>B6-B7</f>
        <v>19539000</v>
      </c>
    </row>
    <row r="9" spans="1:2" x14ac:dyDescent="0.3">
      <c r="A9" s="9" t="s">
        <v>17</v>
      </c>
      <c r="B9" s="11">
        <f>B8/B6</f>
        <v>0.2505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시나리오 요약</vt:lpstr>
      <vt:lpstr>무작정따라하기</vt:lpstr>
      <vt:lpstr>기출01</vt:lpstr>
      <vt:lpstr>기출02</vt:lpstr>
      <vt:lpstr>A반품수량</vt:lpstr>
      <vt:lpstr>B반품수량</vt:lpstr>
      <vt:lpstr>매출액합계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2011-06-14T09:30:40Z</dcterms:created>
  <dcterms:modified xsi:type="dcterms:W3CDTF">2018-11-22T06:31:20Z</dcterms:modified>
</cp:coreProperties>
</file>