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/>
  <workbookPr defaultThemeVersion="124226"/>
  <mc:AlternateContent xmlns:mc="http://schemas.openxmlformats.org/markup-compatibility/2006">
    <mc:Choice Requires="x15">
      <x15ac:absPath xmlns:x15ac="http://schemas.microsoft.com/office/spreadsheetml/2010/11/ac" url="C:\Users\S405-18\Downloads\"/>
    </mc:Choice>
  </mc:AlternateContent>
  <bookViews>
    <workbookView xWindow="480" yWindow="60" windowWidth="18195" windowHeight="11820"/>
  </bookViews>
  <sheets>
    <sheet name="무작정따라하기" sheetId="4" r:id="rId1"/>
    <sheet name="기출01" sheetId="5" r:id="rId2"/>
    <sheet name="기출02" sheetId="6" r:id="rId3"/>
  </sheets>
  <calcPr calcId="152511"/>
</workbook>
</file>

<file path=xl/calcChain.xml><?xml version="1.0" encoding="utf-8"?>
<calcChain xmlns="http://schemas.openxmlformats.org/spreadsheetml/2006/main">
  <c r="E34" i="4" l="1"/>
  <c r="E32" i="4"/>
  <c r="E28" i="4"/>
  <c r="E25" i="4"/>
  <c r="E22" i="4"/>
  <c r="E20" i="4"/>
  <c r="E14" i="4"/>
  <c r="E10" i="4"/>
  <c r="E5" i="4"/>
  <c r="E15" i="4" s="1"/>
  <c r="F33" i="4"/>
  <c r="E33" i="4"/>
  <c r="F23" i="4"/>
  <c r="E23" i="4"/>
  <c r="F15" i="4"/>
  <c r="F35" i="4" s="1"/>
  <c r="E13" i="6"/>
  <c r="F13" i="6" s="1"/>
  <c r="E12" i="6"/>
  <c r="F12" i="6" s="1"/>
  <c r="E11" i="6"/>
  <c r="F11" i="6" s="1"/>
  <c r="E10" i="6"/>
  <c r="F10" i="6" s="1"/>
  <c r="E9" i="6"/>
  <c r="F9" i="6" s="1"/>
  <c r="E8" i="6"/>
  <c r="F8" i="6" s="1"/>
  <c r="E7" i="6"/>
  <c r="F7" i="6" s="1"/>
  <c r="G7" i="6" s="1"/>
  <c r="E6" i="6"/>
  <c r="F6" i="6" s="1"/>
  <c r="G6" i="6" s="1"/>
  <c r="F5" i="6"/>
  <c r="G5" i="6" s="1"/>
  <c r="E5" i="6"/>
  <c r="E4" i="6"/>
  <c r="F4" i="6" s="1"/>
  <c r="G4" i="6" s="1"/>
  <c r="F3" i="6"/>
  <c r="G3" i="6" s="1"/>
  <c r="E3" i="6"/>
  <c r="E35" i="4" l="1"/>
  <c r="G9" i="6"/>
  <c r="H9" i="6" s="1"/>
  <c r="G11" i="6"/>
  <c r="H11" i="6" s="1"/>
  <c r="G13" i="6"/>
  <c r="H13" i="6" s="1"/>
  <c r="G8" i="6"/>
  <c r="H8" i="6" s="1"/>
  <c r="G10" i="6"/>
  <c r="H10" i="6" s="1"/>
  <c r="G12" i="6"/>
  <c r="H12" i="6" s="1"/>
  <c r="H3" i="6"/>
  <c r="H4" i="6"/>
  <c r="H5" i="6"/>
  <c r="H6" i="6"/>
  <c r="H7" i="6"/>
</calcChain>
</file>

<file path=xl/sharedStrings.xml><?xml version="1.0" encoding="utf-8"?>
<sst xmlns="http://schemas.openxmlformats.org/spreadsheetml/2006/main" count="157" uniqueCount="66">
  <si>
    <t>한의원의 이용실태</t>
  </si>
  <si>
    <t>배달시간(분)</t>
  </si>
  <si>
    <t>급여 분석 현황</t>
    <phoneticPr fontId="3" type="noConversion"/>
  </si>
  <si>
    <t>사원번호</t>
    <phoneticPr fontId="3" type="noConversion"/>
  </si>
  <si>
    <t>성명</t>
    <phoneticPr fontId="3" type="noConversion"/>
  </si>
  <si>
    <t>직위</t>
    <phoneticPr fontId="3" type="noConversion"/>
  </si>
  <si>
    <t>기본급</t>
    <phoneticPr fontId="3" type="noConversion"/>
  </si>
  <si>
    <t>상여금</t>
    <phoneticPr fontId="3" type="noConversion"/>
  </si>
  <si>
    <t>급여계</t>
    <phoneticPr fontId="3" type="noConversion"/>
  </si>
  <si>
    <t>공제계</t>
    <phoneticPr fontId="3" type="noConversion"/>
  </si>
  <si>
    <t>실수령액</t>
    <phoneticPr fontId="3" type="noConversion"/>
  </si>
  <si>
    <t>차진수</t>
    <phoneticPr fontId="3" type="noConversion"/>
  </si>
  <si>
    <t>과장</t>
    <phoneticPr fontId="3" type="noConversion"/>
  </si>
  <si>
    <t>마시리</t>
    <phoneticPr fontId="3" type="noConversion"/>
  </si>
  <si>
    <t>사원</t>
    <phoneticPr fontId="3" type="noConversion"/>
  </si>
  <si>
    <t>하수진</t>
    <phoneticPr fontId="3" type="noConversion"/>
  </si>
  <si>
    <t>오현명</t>
    <phoneticPr fontId="3" type="noConversion"/>
  </si>
  <si>
    <t>부장</t>
    <phoneticPr fontId="3" type="noConversion"/>
  </si>
  <si>
    <t>백지경</t>
    <phoneticPr fontId="3" type="noConversion"/>
  </si>
  <si>
    <t>정형수</t>
    <phoneticPr fontId="3" type="noConversion"/>
  </si>
  <si>
    <t>대리</t>
    <phoneticPr fontId="3" type="noConversion"/>
  </si>
  <si>
    <t>유현인</t>
    <phoneticPr fontId="3" type="noConversion"/>
  </si>
  <si>
    <t>이지형</t>
    <phoneticPr fontId="3" type="noConversion"/>
  </si>
  <si>
    <t>나진의</t>
    <phoneticPr fontId="3" type="noConversion"/>
  </si>
  <si>
    <t>진인진</t>
    <phoneticPr fontId="3" type="noConversion"/>
  </si>
  <si>
    <t>피현정</t>
    <phoneticPr fontId="3" type="noConversion"/>
  </si>
  <si>
    <t>배달일지</t>
    <phoneticPr fontId="3" type="noConversion"/>
  </si>
  <si>
    <t>일자</t>
    <phoneticPr fontId="3" type="noConversion"/>
  </si>
  <si>
    <t>배달담당</t>
    <phoneticPr fontId="3" type="noConversion"/>
  </si>
  <si>
    <t>배달지역</t>
    <phoneticPr fontId="3" type="noConversion"/>
  </si>
  <si>
    <t>배달량</t>
    <phoneticPr fontId="3" type="noConversion"/>
  </si>
  <si>
    <t>비고</t>
    <phoneticPr fontId="3" type="noConversion"/>
  </si>
  <si>
    <t>도부영</t>
    <phoneticPr fontId="3" type="noConversion"/>
  </si>
  <si>
    <t>산북지구</t>
    <phoneticPr fontId="3" type="noConversion"/>
  </si>
  <si>
    <t>배무현</t>
    <phoneticPr fontId="3" type="noConversion"/>
  </si>
  <si>
    <t>산서지구</t>
    <phoneticPr fontId="3" type="noConversion"/>
  </si>
  <si>
    <t>장동욱</t>
    <phoneticPr fontId="3" type="noConversion"/>
  </si>
  <si>
    <t>산동지구</t>
    <phoneticPr fontId="3" type="noConversion"/>
  </si>
  <si>
    <t>배달누락</t>
    <phoneticPr fontId="3" type="noConversion"/>
  </si>
  <si>
    <t>산남지구</t>
    <phoneticPr fontId="3" type="noConversion"/>
  </si>
  <si>
    <t>진료시간대</t>
    <phoneticPr fontId="3" type="noConversion"/>
  </si>
  <si>
    <t>진료과목</t>
    <phoneticPr fontId="3" type="noConversion"/>
  </si>
  <si>
    <t>거주지역</t>
    <phoneticPr fontId="3" type="noConversion"/>
  </si>
  <si>
    <t>성별</t>
    <phoneticPr fontId="3" type="noConversion"/>
  </si>
  <si>
    <t>인원</t>
    <phoneticPr fontId="3" type="noConversion"/>
  </si>
  <si>
    <t>연령대</t>
    <phoneticPr fontId="3" type="noConversion"/>
  </si>
  <si>
    <t>내과</t>
    <phoneticPr fontId="3" type="noConversion"/>
  </si>
  <si>
    <t>라인</t>
    <phoneticPr fontId="3" type="noConversion"/>
  </si>
  <si>
    <t>남</t>
    <phoneticPr fontId="3" type="noConversion"/>
  </si>
  <si>
    <t>침구과</t>
    <phoneticPr fontId="3" type="noConversion"/>
  </si>
  <si>
    <t>여</t>
    <phoneticPr fontId="3" type="noConversion"/>
  </si>
  <si>
    <t>금호</t>
    <phoneticPr fontId="3" type="noConversion"/>
  </si>
  <si>
    <t>현대</t>
    <phoneticPr fontId="3" type="noConversion"/>
  </si>
  <si>
    <t>부인과</t>
    <phoneticPr fontId="3" type="noConversion"/>
  </si>
  <si>
    <t>내과 평균</t>
  </si>
  <si>
    <t>부인과 평균</t>
  </si>
  <si>
    <t>침구과 평균</t>
  </si>
  <si>
    <t>전체 평균</t>
  </si>
  <si>
    <t>현대 최소값</t>
  </si>
  <si>
    <t>라인 최소값</t>
  </si>
  <si>
    <t>금호 최소값</t>
  </si>
  <si>
    <t>전체 최소값</t>
  </si>
  <si>
    <t>1. 영역 선택 후 '데이터' =&gt; 정렬 =&gt; 진료과목,값,오름차순 // 기준추가해서 거주지역,값,내림차순</t>
    <phoneticPr fontId="2" type="noConversion"/>
  </si>
  <si>
    <t>2. 영역 내에 아무 셀 하나 선택 후 '데이터' =&gt; 부분합 =&gt; 진료과목,인원,평균,(인원,연령대 선택) =&gt; 확인</t>
    <phoneticPr fontId="2" type="noConversion"/>
  </si>
  <si>
    <t>3. '새로운값으로 대치' 체크해제하고 2번처럼 하면 됨</t>
    <phoneticPr fontId="2" type="noConversion"/>
  </si>
  <si>
    <r>
      <t>※ 부분합이나 부분평균 등을 구하려면 우선적으로 데이터가 '</t>
    </r>
    <r>
      <rPr>
        <sz val="11"/>
        <color rgb="FFFF0000"/>
        <rFont val="맑은 고딕"/>
        <family val="3"/>
        <charset val="129"/>
      </rPr>
      <t>정렬'된 상태</t>
    </r>
    <r>
      <rPr>
        <sz val="11"/>
        <rFont val="맑은 고딕"/>
        <family val="3"/>
        <charset val="129"/>
      </rPr>
      <t>여야 한다.</t>
    </r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</si>
</sst>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41" formatCode="_-* #,##0_-;\-* #,##0_-;_-* &quot;-&quot;_-;_-@_-"/>
    <numFmt numFmtId="176" formatCode="0_);[Red]\(0\)"/>
    <numFmt numFmtId="181" formatCode="0.00_ "/>
  </numFmts>
  <fonts count="9">
    <font>
      <sz val="11"/>
      <color theme="1"/>
      <name val="맑은 고딕"/>
      <family val="2"/>
      <charset val="129"/>
    </font>
    <font>
      <sz val="11"/>
      <name val="돋움"/>
      <family val="3"/>
      <charset val="129"/>
    </font>
    <font>
      <sz val="8"/>
      <name val="맑은 고딕"/>
      <family val="2"/>
      <charset val="129"/>
    </font>
    <font>
      <sz val="8"/>
      <name val="돋움"/>
      <family val="3"/>
      <charset val="129"/>
    </font>
    <font>
      <b/>
      <sz val="14"/>
      <name val="맑은 고딕"/>
      <family val="3"/>
      <charset val="129"/>
    </font>
    <font>
      <sz val="11"/>
      <name val="맑은 고딕"/>
      <family val="3"/>
      <charset val="129"/>
    </font>
    <font>
      <sz val="14"/>
      <name val="맑은 고딕"/>
      <family val="3"/>
      <charset val="129"/>
    </font>
    <font>
      <b/>
      <sz val="11"/>
      <name val="맑은 고딕"/>
      <family val="3"/>
      <charset val="129"/>
    </font>
    <font>
      <sz val="11"/>
      <color rgb="FFFF0000"/>
      <name val="맑은 고딕"/>
      <family val="3"/>
      <charset val="129"/>
    </font>
  </fonts>
  <fills count="3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</fills>
  <borders count="3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>
      <alignment vertical="center"/>
    </xf>
    <xf numFmtId="0" fontId="1" fillId="0" borderId="0"/>
    <xf numFmtId="41" fontId="1" fillId="0" borderId="0" applyFont="0" applyFill="0" applyBorder="0" applyAlignment="0" applyProtection="0"/>
  </cellStyleXfs>
  <cellXfs count="23">
    <xf numFmtId="0" fontId="0" fillId="0" borderId="0" xfId="0">
      <alignment vertical="center"/>
    </xf>
    <xf numFmtId="0" fontId="5" fillId="0" borderId="0" xfId="1" applyFont="1"/>
    <xf numFmtId="0" fontId="5" fillId="0" borderId="2" xfId="1" applyFont="1" applyBorder="1"/>
    <xf numFmtId="0" fontId="5" fillId="0" borderId="2" xfId="1" applyFont="1" applyBorder="1" applyAlignment="1">
      <alignment horizontal="center"/>
    </xf>
    <xf numFmtId="3" fontId="5" fillId="0" borderId="2" xfId="1" applyNumberFormat="1" applyFont="1" applyBorder="1" applyAlignment="1">
      <alignment horizontal="center"/>
    </xf>
    <xf numFmtId="3" fontId="5" fillId="0" borderId="2" xfId="1" applyNumberFormat="1" applyFont="1" applyBorder="1"/>
    <xf numFmtId="41" fontId="5" fillId="0" borderId="2" xfId="2" applyFont="1" applyBorder="1"/>
    <xf numFmtId="14" fontId="5" fillId="0" borderId="0" xfId="1" applyNumberFormat="1" applyFont="1"/>
    <xf numFmtId="0" fontId="5" fillId="0" borderId="0" xfId="1" applyFont="1" applyAlignment="1">
      <alignment horizontal="center"/>
    </xf>
    <xf numFmtId="0" fontId="5" fillId="2" borderId="2" xfId="1" applyFont="1" applyFill="1" applyBorder="1" applyAlignment="1">
      <alignment horizontal="center"/>
    </xf>
    <xf numFmtId="20" fontId="5" fillId="0" borderId="2" xfId="1" applyNumberFormat="1" applyFont="1" applyBorder="1" applyAlignment="1">
      <alignment horizontal="center"/>
    </xf>
    <xf numFmtId="0" fontId="5" fillId="0" borderId="2" xfId="1" applyFont="1" applyFill="1" applyBorder="1" applyAlignment="1">
      <alignment horizontal="center"/>
    </xf>
    <xf numFmtId="176" fontId="5" fillId="0" borderId="2" xfId="1" applyNumberFormat="1" applyFont="1" applyFill="1" applyBorder="1" applyAlignment="1">
      <alignment horizontal="center"/>
    </xf>
    <xf numFmtId="176" fontId="5" fillId="0" borderId="2" xfId="1" applyNumberFormat="1" applyFont="1" applyBorder="1" applyAlignment="1">
      <alignment horizontal="center"/>
    </xf>
    <xf numFmtId="0" fontId="6" fillId="0" borderId="1" xfId="1" applyFont="1" applyBorder="1" applyAlignment="1">
      <alignment horizontal="center"/>
    </xf>
    <xf numFmtId="0" fontId="4" fillId="0" borderId="1" xfId="1" applyFont="1" applyBorder="1" applyAlignment="1">
      <alignment horizontal="center"/>
    </xf>
    <xf numFmtId="0" fontId="7" fillId="0" borderId="2" xfId="1" applyFont="1" applyBorder="1" applyAlignment="1">
      <alignment horizontal="center"/>
    </xf>
    <xf numFmtId="20" fontId="5" fillId="0" borderId="0" xfId="1" applyNumberFormat="1" applyFont="1" applyBorder="1" applyAlignment="1">
      <alignment horizontal="center"/>
    </xf>
    <xf numFmtId="0" fontId="5" fillId="0" borderId="0" xfId="1" applyFont="1" applyBorder="1" applyAlignment="1">
      <alignment horizontal="center"/>
    </xf>
    <xf numFmtId="176" fontId="5" fillId="0" borderId="0" xfId="1" applyNumberFormat="1" applyFont="1" applyBorder="1" applyAlignment="1">
      <alignment horizontal="center"/>
    </xf>
    <xf numFmtId="0" fontId="7" fillId="0" borderId="0" xfId="1" applyFont="1" applyBorder="1" applyAlignment="1">
      <alignment horizontal="center"/>
    </xf>
    <xf numFmtId="181" fontId="5" fillId="0" borderId="2" xfId="1" applyNumberFormat="1" applyFont="1" applyBorder="1" applyAlignment="1">
      <alignment horizontal="center"/>
    </xf>
    <xf numFmtId="181" fontId="5" fillId="0" borderId="0" xfId="1" applyNumberFormat="1" applyFont="1" applyBorder="1" applyAlignment="1">
      <alignment horizontal="center"/>
    </xf>
  </cellXfs>
  <cellStyles count="3">
    <cellStyle name="쉼표 [0] 2" xfId="2"/>
    <cellStyle name="표준" xfId="0" builtinId="0"/>
    <cellStyle name="표준 2" xfId="1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35"/>
  <sheetViews>
    <sheetView tabSelected="1" workbookViewId="0">
      <selection activeCell="H9" sqref="H9"/>
    </sheetView>
  </sheetViews>
  <sheetFormatPr defaultRowHeight="16.5" outlineLevelRow="3"/>
  <cols>
    <col min="1" max="1" width="11" style="8" bestFit="1" customWidth="1"/>
    <col min="2" max="3" width="9" style="1" bestFit="1" customWidth="1"/>
    <col min="4" max="6" width="9" style="1" customWidth="1"/>
    <col min="7" max="7" width="9" style="1"/>
    <col min="8" max="8" width="98.375" style="1" bestFit="1" customWidth="1"/>
    <col min="9" max="16384" width="9" style="1"/>
  </cols>
  <sheetData>
    <row r="1" spans="1:8" ht="20.25">
      <c r="A1" s="14" t="s">
        <v>0</v>
      </c>
      <c r="B1" s="14"/>
      <c r="C1" s="14"/>
      <c r="D1" s="14"/>
      <c r="E1" s="14"/>
      <c r="F1" s="14"/>
    </row>
    <row r="2" spans="1:8">
      <c r="A2" s="9" t="s">
        <v>40</v>
      </c>
      <c r="B2" s="9" t="s">
        <v>41</v>
      </c>
      <c r="C2" s="9" t="s">
        <v>42</v>
      </c>
      <c r="D2" s="9" t="s">
        <v>43</v>
      </c>
      <c r="E2" s="9" t="s">
        <v>44</v>
      </c>
      <c r="F2" s="9" t="s">
        <v>45</v>
      </c>
    </row>
    <row r="3" spans="1:8" outlineLevel="3">
      <c r="A3" s="10">
        <v>0.45833333333333298</v>
      </c>
      <c r="B3" s="3" t="s">
        <v>46</v>
      </c>
      <c r="C3" s="3" t="s">
        <v>52</v>
      </c>
      <c r="D3" s="11" t="s">
        <v>48</v>
      </c>
      <c r="E3" s="11">
        <v>7</v>
      </c>
      <c r="F3" s="12">
        <v>60</v>
      </c>
    </row>
    <row r="4" spans="1:8" outlineLevel="3">
      <c r="A4" s="10">
        <v>0.625</v>
      </c>
      <c r="B4" s="3" t="s">
        <v>46</v>
      </c>
      <c r="C4" s="3" t="s">
        <v>52</v>
      </c>
      <c r="D4" s="3" t="s">
        <v>50</v>
      </c>
      <c r="E4" s="3">
        <v>3</v>
      </c>
      <c r="F4" s="13">
        <v>60</v>
      </c>
      <c r="H4" s="1" t="s">
        <v>65</v>
      </c>
    </row>
    <row r="5" spans="1:8" outlineLevel="2">
      <c r="A5" s="10"/>
      <c r="B5" s="3"/>
      <c r="C5" s="16" t="s">
        <v>58</v>
      </c>
      <c r="D5" s="3"/>
      <c r="E5" s="3">
        <f>SUBTOTAL(5,E3:E4)</f>
        <v>3</v>
      </c>
      <c r="F5" s="13"/>
      <c r="H5" s="1" t="s">
        <v>62</v>
      </c>
    </row>
    <row r="6" spans="1:8" outlineLevel="3">
      <c r="A6" s="10">
        <v>0.41666666666666669</v>
      </c>
      <c r="B6" s="3" t="s">
        <v>46</v>
      </c>
      <c r="C6" s="3" t="s">
        <v>47</v>
      </c>
      <c r="D6" s="11" t="s">
        <v>48</v>
      </c>
      <c r="E6" s="11">
        <v>2</v>
      </c>
      <c r="F6" s="12">
        <v>60</v>
      </c>
      <c r="H6" s="1" t="s">
        <v>63</v>
      </c>
    </row>
    <row r="7" spans="1:8" outlineLevel="3">
      <c r="A7" s="10">
        <v>0.45833333333333298</v>
      </c>
      <c r="B7" s="3" t="s">
        <v>46</v>
      </c>
      <c r="C7" s="3" t="s">
        <v>47</v>
      </c>
      <c r="D7" s="3" t="s">
        <v>48</v>
      </c>
      <c r="E7" s="3">
        <v>1</v>
      </c>
      <c r="F7" s="13">
        <v>60</v>
      </c>
      <c r="H7" s="1" t="s">
        <v>64</v>
      </c>
    </row>
    <row r="8" spans="1:8" outlineLevel="3">
      <c r="A8" s="10">
        <v>0.625</v>
      </c>
      <c r="B8" s="3" t="s">
        <v>46</v>
      </c>
      <c r="C8" s="3" t="s">
        <v>47</v>
      </c>
      <c r="D8" s="3" t="s">
        <v>50</v>
      </c>
      <c r="E8" s="3">
        <v>8</v>
      </c>
      <c r="F8" s="13">
        <v>50</v>
      </c>
    </row>
    <row r="9" spans="1:8" outlineLevel="3">
      <c r="A9" s="10">
        <v>0.66666666666666696</v>
      </c>
      <c r="B9" s="3" t="s">
        <v>46</v>
      </c>
      <c r="C9" s="3" t="s">
        <v>47</v>
      </c>
      <c r="D9" s="3" t="s">
        <v>50</v>
      </c>
      <c r="E9" s="3">
        <v>4</v>
      </c>
      <c r="F9" s="13">
        <v>40</v>
      </c>
    </row>
    <row r="10" spans="1:8" outlineLevel="2">
      <c r="A10" s="10"/>
      <c r="B10" s="3"/>
      <c r="C10" s="16" t="s">
        <v>59</v>
      </c>
      <c r="D10" s="3"/>
      <c r="E10" s="3">
        <f>SUBTOTAL(5,E6:E9)</f>
        <v>1</v>
      </c>
      <c r="F10" s="13"/>
    </row>
    <row r="11" spans="1:8" outlineLevel="3">
      <c r="A11" s="10">
        <v>0.45833333333333298</v>
      </c>
      <c r="B11" s="3" t="s">
        <v>46</v>
      </c>
      <c r="C11" s="3" t="s">
        <v>51</v>
      </c>
      <c r="D11" s="3" t="s">
        <v>50</v>
      </c>
      <c r="E11" s="3">
        <v>3</v>
      </c>
      <c r="F11" s="13">
        <v>40</v>
      </c>
    </row>
    <row r="12" spans="1:8" outlineLevel="3">
      <c r="A12" s="10">
        <v>0.70833333333333304</v>
      </c>
      <c r="B12" s="3" t="s">
        <v>46</v>
      </c>
      <c r="C12" s="3" t="s">
        <v>51</v>
      </c>
      <c r="D12" s="3" t="s">
        <v>50</v>
      </c>
      <c r="E12" s="3">
        <v>9</v>
      </c>
      <c r="F12" s="13">
        <v>50</v>
      </c>
    </row>
    <row r="13" spans="1:8" outlineLevel="3">
      <c r="A13" s="10">
        <v>0.75</v>
      </c>
      <c r="B13" s="3" t="s">
        <v>46</v>
      </c>
      <c r="C13" s="3" t="s">
        <v>51</v>
      </c>
      <c r="D13" s="3" t="s">
        <v>48</v>
      </c>
      <c r="E13" s="3">
        <v>5</v>
      </c>
      <c r="F13" s="13">
        <v>60</v>
      </c>
    </row>
    <row r="14" spans="1:8" outlineLevel="2">
      <c r="A14" s="10"/>
      <c r="B14" s="3"/>
      <c r="C14" s="16" t="s">
        <v>60</v>
      </c>
      <c r="D14" s="3"/>
      <c r="E14" s="3">
        <f>SUBTOTAL(5,E11:E13)</f>
        <v>3</v>
      </c>
      <c r="F14" s="13"/>
    </row>
    <row r="15" spans="1:8" outlineLevel="1">
      <c r="A15" s="10"/>
      <c r="B15" s="16" t="s">
        <v>54</v>
      </c>
      <c r="C15" s="3"/>
      <c r="D15" s="3"/>
      <c r="E15" s="21">
        <f>SUBTOTAL(1,E3:E13)</f>
        <v>4.666666666666667</v>
      </c>
      <c r="F15" s="13">
        <f>SUBTOTAL(1,F3:F13)</f>
        <v>53.333333333333336</v>
      </c>
    </row>
    <row r="16" spans="1:8" outlineLevel="3">
      <c r="A16" s="10">
        <v>0.58333333333333304</v>
      </c>
      <c r="B16" s="3" t="s">
        <v>53</v>
      </c>
      <c r="C16" s="3" t="s">
        <v>52</v>
      </c>
      <c r="D16" s="3" t="s">
        <v>50</v>
      </c>
      <c r="E16" s="3">
        <v>10</v>
      </c>
      <c r="F16" s="13">
        <v>50</v>
      </c>
    </row>
    <row r="17" spans="1:6" outlineLevel="3">
      <c r="A17" s="10">
        <v>0.58333333333333304</v>
      </c>
      <c r="B17" s="3" t="s">
        <v>53</v>
      </c>
      <c r="C17" s="3" t="s">
        <v>52</v>
      </c>
      <c r="D17" s="3" t="s">
        <v>50</v>
      </c>
      <c r="E17" s="3">
        <v>5</v>
      </c>
      <c r="F17" s="13">
        <v>60</v>
      </c>
    </row>
    <row r="18" spans="1:6" outlineLevel="3">
      <c r="A18" s="10">
        <v>0.625</v>
      </c>
      <c r="B18" s="3" t="s">
        <v>53</v>
      </c>
      <c r="C18" s="3" t="s">
        <v>52</v>
      </c>
      <c r="D18" s="3" t="s">
        <v>50</v>
      </c>
      <c r="E18" s="3">
        <v>2</v>
      </c>
      <c r="F18" s="13">
        <v>60</v>
      </c>
    </row>
    <row r="19" spans="1:6" outlineLevel="3">
      <c r="A19" s="10">
        <v>0.75</v>
      </c>
      <c r="B19" s="3" t="s">
        <v>53</v>
      </c>
      <c r="C19" s="3" t="s">
        <v>52</v>
      </c>
      <c r="D19" s="3" t="s">
        <v>50</v>
      </c>
      <c r="E19" s="3">
        <v>8</v>
      </c>
      <c r="F19" s="13">
        <v>40</v>
      </c>
    </row>
    <row r="20" spans="1:6" outlineLevel="2">
      <c r="A20" s="10"/>
      <c r="B20" s="3"/>
      <c r="C20" s="16" t="s">
        <v>58</v>
      </c>
      <c r="D20" s="3"/>
      <c r="E20" s="3">
        <f>SUBTOTAL(5,E16:E19)</f>
        <v>2</v>
      </c>
      <c r="F20" s="13"/>
    </row>
    <row r="21" spans="1:6" outlineLevel="3">
      <c r="A21" s="10">
        <v>0.54166666666666696</v>
      </c>
      <c r="B21" s="3" t="s">
        <v>53</v>
      </c>
      <c r="C21" s="3" t="s">
        <v>51</v>
      </c>
      <c r="D21" s="3" t="s">
        <v>50</v>
      </c>
      <c r="E21" s="3">
        <v>8</v>
      </c>
      <c r="F21" s="13">
        <v>60</v>
      </c>
    </row>
    <row r="22" spans="1:6" outlineLevel="2">
      <c r="A22" s="10"/>
      <c r="B22" s="3"/>
      <c r="C22" s="16" t="s">
        <v>60</v>
      </c>
      <c r="D22" s="3"/>
      <c r="E22" s="3">
        <f>SUBTOTAL(5,E21:E21)</f>
        <v>8</v>
      </c>
      <c r="F22" s="13"/>
    </row>
    <row r="23" spans="1:6" outlineLevel="1">
      <c r="A23" s="10"/>
      <c r="B23" s="16" t="s">
        <v>55</v>
      </c>
      <c r="C23" s="3"/>
      <c r="D23" s="3"/>
      <c r="E23" s="21">
        <f>SUBTOTAL(1,E16:E21)</f>
        <v>6.6</v>
      </c>
      <c r="F23" s="13">
        <f>SUBTOTAL(1,F16:F21)</f>
        <v>54</v>
      </c>
    </row>
    <row r="24" spans="1:6" outlineLevel="3">
      <c r="A24" s="10">
        <v>0.75</v>
      </c>
      <c r="B24" s="3" t="s">
        <v>49</v>
      </c>
      <c r="C24" s="3" t="s">
        <v>52</v>
      </c>
      <c r="D24" s="3" t="s">
        <v>50</v>
      </c>
      <c r="E24" s="3">
        <v>10</v>
      </c>
      <c r="F24" s="13">
        <v>60</v>
      </c>
    </row>
    <row r="25" spans="1:6" outlineLevel="2">
      <c r="A25" s="10"/>
      <c r="B25" s="3"/>
      <c r="C25" s="16" t="s">
        <v>58</v>
      </c>
      <c r="D25" s="3"/>
      <c r="E25" s="3">
        <f>SUBTOTAL(5,E24:E24)</f>
        <v>10</v>
      </c>
      <c r="F25" s="13"/>
    </row>
    <row r="26" spans="1:6" outlineLevel="3">
      <c r="A26" s="10">
        <v>0.41666666666666669</v>
      </c>
      <c r="B26" s="3" t="s">
        <v>49</v>
      </c>
      <c r="C26" s="3" t="s">
        <v>47</v>
      </c>
      <c r="D26" s="3" t="s">
        <v>50</v>
      </c>
      <c r="E26" s="3">
        <v>5</v>
      </c>
      <c r="F26" s="13">
        <v>50</v>
      </c>
    </row>
    <row r="27" spans="1:6" outlineLevel="3">
      <c r="A27" s="10">
        <v>0.66666666666666696</v>
      </c>
      <c r="B27" s="3" t="s">
        <v>49</v>
      </c>
      <c r="C27" s="3" t="s">
        <v>47</v>
      </c>
      <c r="D27" s="3" t="s">
        <v>48</v>
      </c>
      <c r="E27" s="3">
        <v>5</v>
      </c>
      <c r="F27" s="13">
        <v>40</v>
      </c>
    </row>
    <row r="28" spans="1:6" outlineLevel="2">
      <c r="A28" s="10"/>
      <c r="B28" s="3"/>
      <c r="C28" s="16" t="s">
        <v>59</v>
      </c>
      <c r="D28" s="3"/>
      <c r="E28" s="3">
        <f>SUBTOTAL(5,E26:E27)</f>
        <v>5</v>
      </c>
      <c r="F28" s="13"/>
    </row>
    <row r="29" spans="1:6" outlineLevel="3">
      <c r="A29" s="10">
        <v>0.45833333333333298</v>
      </c>
      <c r="B29" s="3" t="s">
        <v>49</v>
      </c>
      <c r="C29" s="3" t="s">
        <v>51</v>
      </c>
      <c r="D29" s="3" t="s">
        <v>48</v>
      </c>
      <c r="E29" s="3">
        <v>4</v>
      </c>
      <c r="F29" s="13">
        <v>50</v>
      </c>
    </row>
    <row r="30" spans="1:6" outlineLevel="3">
      <c r="A30" s="10">
        <v>0.58333333333333304</v>
      </c>
      <c r="B30" s="3" t="s">
        <v>49</v>
      </c>
      <c r="C30" s="3" t="s">
        <v>51</v>
      </c>
      <c r="D30" s="3" t="s">
        <v>48</v>
      </c>
      <c r="E30" s="3">
        <v>6</v>
      </c>
      <c r="F30" s="13">
        <v>50</v>
      </c>
    </row>
    <row r="31" spans="1:6" outlineLevel="3">
      <c r="A31" s="10">
        <v>0.70833333333333304</v>
      </c>
      <c r="B31" s="3" t="s">
        <v>49</v>
      </c>
      <c r="C31" s="3" t="s">
        <v>51</v>
      </c>
      <c r="D31" s="3" t="s">
        <v>50</v>
      </c>
      <c r="E31" s="3">
        <v>1</v>
      </c>
      <c r="F31" s="13">
        <v>40</v>
      </c>
    </row>
    <row r="32" spans="1:6" outlineLevel="2">
      <c r="A32" s="17"/>
      <c r="B32" s="18"/>
      <c r="C32" s="20" t="s">
        <v>60</v>
      </c>
      <c r="D32" s="18"/>
      <c r="E32" s="18">
        <f>SUBTOTAL(5,E29:E31)</f>
        <v>1</v>
      </c>
      <c r="F32" s="19"/>
    </row>
    <row r="33" spans="1:6" outlineLevel="1">
      <c r="A33" s="17"/>
      <c r="B33" s="20" t="s">
        <v>56</v>
      </c>
      <c r="C33" s="18"/>
      <c r="D33" s="18"/>
      <c r="E33" s="22">
        <f>SUBTOTAL(1,E24:E31)</f>
        <v>5.166666666666667</v>
      </c>
      <c r="F33" s="19">
        <f>SUBTOTAL(1,F24:F31)</f>
        <v>48.333333333333336</v>
      </c>
    </row>
    <row r="34" spans="1:6">
      <c r="A34" s="17"/>
      <c r="B34" s="20"/>
      <c r="C34" s="20" t="s">
        <v>61</v>
      </c>
      <c r="D34" s="18"/>
      <c r="E34" s="18">
        <f>SUBTOTAL(5,E3:E31)</f>
        <v>1</v>
      </c>
      <c r="F34" s="19"/>
    </row>
    <row r="35" spans="1:6">
      <c r="A35" s="17"/>
      <c r="B35" s="20" t="s">
        <v>57</v>
      </c>
      <c r="C35" s="18"/>
      <c r="D35" s="18"/>
      <c r="E35" s="18">
        <f>SUBTOTAL(1,E3:E31)</f>
        <v>5.3</v>
      </c>
      <c r="F35" s="19">
        <f>SUBTOTAL(1,F3:F31)</f>
        <v>52</v>
      </c>
    </row>
  </sheetData>
  <sortState ref="A3:F22">
    <sortCondition ref="B3:B22"/>
    <sortCondition descending="1" ref="C3:C22"/>
  </sortState>
  <mergeCells count="1">
    <mergeCell ref="A1:F1"/>
  </mergeCells>
  <phoneticPr fontId="2" type="noConversion"/>
  <pageMargins left="0.75" right="0.75" top="1" bottom="1" header="0.5" footer="0.5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19"/>
  <sheetViews>
    <sheetView workbookViewId="0"/>
  </sheetViews>
  <sheetFormatPr defaultRowHeight="16.5"/>
  <cols>
    <col min="1" max="1" width="12.875" style="1" bestFit="1" customWidth="1"/>
    <col min="2" max="3" width="9.25" style="1" bestFit="1" customWidth="1"/>
    <col min="4" max="4" width="12.75" style="1" bestFit="1" customWidth="1"/>
    <col min="5" max="5" width="9" style="1" customWidth="1"/>
    <col min="6" max="6" width="9.25" style="1" bestFit="1" customWidth="1"/>
    <col min="7" max="16384" width="9" style="1"/>
  </cols>
  <sheetData>
    <row r="1" spans="1:6">
      <c r="A1" s="1" t="s">
        <v>26</v>
      </c>
    </row>
    <row r="2" spans="1:6">
      <c r="A2" s="1" t="s">
        <v>27</v>
      </c>
      <c r="B2" s="1" t="s">
        <v>28</v>
      </c>
      <c r="C2" s="1" t="s">
        <v>29</v>
      </c>
      <c r="D2" s="1" t="s">
        <v>1</v>
      </c>
      <c r="E2" s="1" t="s">
        <v>30</v>
      </c>
      <c r="F2" s="1" t="s">
        <v>31</v>
      </c>
    </row>
    <row r="3" spans="1:6">
      <c r="A3" s="7">
        <v>40555</v>
      </c>
      <c r="B3" s="1" t="s">
        <v>32</v>
      </c>
      <c r="C3" s="8" t="s">
        <v>33</v>
      </c>
      <c r="D3" s="8">
        <v>37</v>
      </c>
      <c r="E3" s="1">
        <v>331</v>
      </c>
    </row>
    <row r="4" spans="1:6">
      <c r="A4" s="7">
        <v>40555</v>
      </c>
      <c r="B4" s="1" t="s">
        <v>34</v>
      </c>
      <c r="C4" s="8" t="s">
        <v>35</v>
      </c>
      <c r="D4" s="8">
        <v>70</v>
      </c>
      <c r="E4" s="1">
        <v>433</v>
      </c>
    </row>
    <row r="5" spans="1:6">
      <c r="A5" s="7">
        <v>40555</v>
      </c>
      <c r="B5" s="1" t="s">
        <v>36</v>
      </c>
      <c r="C5" s="8" t="s">
        <v>37</v>
      </c>
      <c r="D5" s="8">
        <v>11</v>
      </c>
      <c r="E5" s="1">
        <v>362</v>
      </c>
    </row>
    <row r="6" spans="1:6">
      <c r="A6" s="7">
        <v>40555</v>
      </c>
      <c r="B6" s="1" t="s">
        <v>36</v>
      </c>
      <c r="C6" s="8" t="s">
        <v>37</v>
      </c>
      <c r="D6" s="8">
        <v>28</v>
      </c>
      <c r="E6" s="1">
        <v>2</v>
      </c>
      <c r="F6" s="1" t="s">
        <v>38</v>
      </c>
    </row>
    <row r="7" spans="1:6">
      <c r="A7" s="7">
        <v>40556</v>
      </c>
      <c r="B7" s="1" t="s">
        <v>32</v>
      </c>
      <c r="C7" s="8" t="s">
        <v>35</v>
      </c>
      <c r="D7" s="8">
        <v>28</v>
      </c>
      <c r="E7" s="1">
        <v>62</v>
      </c>
    </row>
    <row r="8" spans="1:6">
      <c r="A8" s="7">
        <v>40556</v>
      </c>
      <c r="B8" s="1" t="s">
        <v>34</v>
      </c>
      <c r="C8" s="8" t="s">
        <v>37</v>
      </c>
      <c r="D8" s="8">
        <v>67</v>
      </c>
      <c r="E8" s="1">
        <v>76</v>
      </c>
    </row>
    <row r="9" spans="1:6">
      <c r="A9" s="7">
        <v>40556</v>
      </c>
      <c r="B9" s="1" t="s">
        <v>36</v>
      </c>
      <c r="C9" s="8" t="s">
        <v>39</v>
      </c>
      <c r="D9" s="8">
        <v>83</v>
      </c>
      <c r="E9" s="1">
        <v>471</v>
      </c>
    </row>
    <row r="10" spans="1:6">
      <c r="A10" s="7">
        <v>40556</v>
      </c>
      <c r="B10" s="1" t="s">
        <v>36</v>
      </c>
      <c r="C10" s="8" t="s">
        <v>33</v>
      </c>
      <c r="D10" s="8">
        <v>36</v>
      </c>
      <c r="E10" s="1">
        <v>750</v>
      </c>
    </row>
    <row r="11" spans="1:6">
      <c r="A11" s="7">
        <v>40557</v>
      </c>
      <c r="B11" s="1" t="s">
        <v>32</v>
      </c>
      <c r="C11" s="8" t="s">
        <v>35</v>
      </c>
      <c r="D11" s="8">
        <v>13</v>
      </c>
      <c r="E11" s="1">
        <v>914</v>
      </c>
    </row>
    <row r="12" spans="1:6">
      <c r="A12" s="7">
        <v>40557</v>
      </c>
      <c r="B12" s="1" t="s">
        <v>34</v>
      </c>
      <c r="C12" s="8" t="s">
        <v>39</v>
      </c>
      <c r="D12" s="8">
        <v>97</v>
      </c>
      <c r="E12" s="1">
        <v>790</v>
      </c>
    </row>
    <row r="13" spans="1:6">
      <c r="A13" s="7">
        <v>40557</v>
      </c>
      <c r="B13" s="1" t="s">
        <v>34</v>
      </c>
      <c r="C13" s="8" t="s">
        <v>33</v>
      </c>
      <c r="D13" s="8">
        <v>91</v>
      </c>
      <c r="E13" s="1">
        <v>356</v>
      </c>
    </row>
    <row r="14" spans="1:6">
      <c r="A14" s="7">
        <v>40557</v>
      </c>
      <c r="B14" s="1" t="s">
        <v>36</v>
      </c>
      <c r="C14" s="8" t="s">
        <v>35</v>
      </c>
      <c r="D14" s="8">
        <v>5</v>
      </c>
      <c r="E14" s="1">
        <v>336</v>
      </c>
    </row>
    <row r="15" spans="1:6">
      <c r="A15" s="7">
        <v>40558</v>
      </c>
      <c r="B15" s="1" t="s">
        <v>32</v>
      </c>
      <c r="C15" s="8" t="s">
        <v>39</v>
      </c>
      <c r="D15" s="8">
        <v>16</v>
      </c>
      <c r="E15" s="1">
        <v>322</v>
      </c>
    </row>
    <row r="16" spans="1:6">
      <c r="A16" s="7">
        <v>40559</v>
      </c>
      <c r="B16" s="1" t="s">
        <v>32</v>
      </c>
      <c r="C16" s="8" t="s">
        <v>35</v>
      </c>
      <c r="D16" s="8">
        <v>94</v>
      </c>
      <c r="E16" s="1">
        <v>177</v>
      </c>
    </row>
    <row r="17" spans="1:5">
      <c r="A17" s="7">
        <v>40559</v>
      </c>
      <c r="B17" s="1" t="s">
        <v>36</v>
      </c>
      <c r="C17" s="8" t="s">
        <v>39</v>
      </c>
      <c r="D17" s="8">
        <v>44</v>
      </c>
      <c r="E17" s="1">
        <v>65</v>
      </c>
    </row>
    <row r="18" spans="1:5">
      <c r="A18" s="7">
        <v>40559</v>
      </c>
      <c r="B18" s="1" t="s">
        <v>36</v>
      </c>
      <c r="C18" s="8" t="s">
        <v>33</v>
      </c>
      <c r="D18" s="8">
        <v>51</v>
      </c>
      <c r="E18" s="1">
        <v>908</v>
      </c>
    </row>
    <row r="19" spans="1:5">
      <c r="A19" s="7">
        <v>40560</v>
      </c>
      <c r="B19" s="1" t="s">
        <v>34</v>
      </c>
      <c r="C19" s="8" t="s">
        <v>37</v>
      </c>
      <c r="D19" s="8">
        <v>38</v>
      </c>
      <c r="E19" s="1">
        <v>874</v>
      </c>
    </row>
  </sheetData>
  <phoneticPr fontId="2" type="noConversion"/>
  <pageMargins left="0.75" right="0.75" top="1" bottom="1" header="0.5" footer="0.5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13"/>
  <sheetViews>
    <sheetView workbookViewId="0">
      <selection sqref="A1:H1"/>
    </sheetView>
  </sheetViews>
  <sheetFormatPr defaultRowHeight="16.5"/>
  <cols>
    <col min="1" max="1" width="9" style="1" bestFit="1" customWidth="1"/>
    <col min="2" max="2" width="7.375" style="1" bestFit="1" customWidth="1"/>
    <col min="3" max="3" width="5.5" style="1" bestFit="1" customWidth="1"/>
    <col min="4" max="4" width="9.25" style="1" bestFit="1" customWidth="1"/>
    <col min="5" max="5" width="10.875" style="1" bestFit="1" customWidth="1"/>
    <col min="6" max="6" width="11.875" style="1" bestFit="1" customWidth="1"/>
    <col min="7" max="7" width="10.875" style="1" bestFit="1" customWidth="1"/>
    <col min="8" max="8" width="11.875" style="1" bestFit="1" customWidth="1"/>
    <col min="9" max="16384" width="9" style="1"/>
  </cols>
  <sheetData>
    <row r="1" spans="1:8" ht="20.25">
      <c r="A1" s="15" t="s">
        <v>2</v>
      </c>
      <c r="B1" s="15"/>
      <c r="C1" s="15"/>
      <c r="D1" s="15"/>
      <c r="E1" s="15"/>
      <c r="F1" s="15"/>
      <c r="G1" s="15"/>
      <c r="H1" s="15"/>
    </row>
    <row r="2" spans="1:8">
      <c r="A2" s="2" t="s">
        <v>3</v>
      </c>
      <c r="B2" s="3" t="s">
        <v>4</v>
      </c>
      <c r="C2" s="3" t="s">
        <v>5</v>
      </c>
      <c r="D2" s="3" t="s">
        <v>6</v>
      </c>
      <c r="E2" s="3" t="s">
        <v>7</v>
      </c>
      <c r="F2" s="3" t="s">
        <v>8</v>
      </c>
      <c r="G2" s="3" t="s">
        <v>9</v>
      </c>
      <c r="H2" s="3" t="s">
        <v>10</v>
      </c>
    </row>
    <row r="3" spans="1:8">
      <c r="A3" s="3">
        <v>12011</v>
      </c>
      <c r="B3" s="3" t="s">
        <v>11</v>
      </c>
      <c r="C3" s="4" t="s">
        <v>12</v>
      </c>
      <c r="D3" s="5">
        <v>1860000</v>
      </c>
      <c r="E3" s="6">
        <f t="shared" ref="E3:E13" si="0">D3*80%</f>
        <v>1488000</v>
      </c>
      <c r="F3" s="6">
        <f t="shared" ref="F3:F13" si="1">D3+E3</f>
        <v>3348000</v>
      </c>
      <c r="G3" s="6">
        <f t="shared" ref="G3:G13" si="2">F3*12%</f>
        <v>401760</v>
      </c>
      <c r="H3" s="6">
        <f t="shared" ref="H3:H13" si="3">F3-G3</f>
        <v>2946240</v>
      </c>
    </row>
    <row r="4" spans="1:8">
      <c r="A4" s="3">
        <v>12016</v>
      </c>
      <c r="B4" s="3" t="s">
        <v>13</v>
      </c>
      <c r="C4" s="4" t="s">
        <v>14</v>
      </c>
      <c r="D4" s="5">
        <v>850000</v>
      </c>
      <c r="E4" s="6">
        <f t="shared" si="0"/>
        <v>680000</v>
      </c>
      <c r="F4" s="6">
        <f t="shared" si="1"/>
        <v>1530000</v>
      </c>
      <c r="G4" s="6">
        <f t="shared" si="2"/>
        <v>183600</v>
      </c>
      <c r="H4" s="6">
        <f t="shared" si="3"/>
        <v>1346400</v>
      </c>
    </row>
    <row r="5" spans="1:8">
      <c r="A5" s="3">
        <v>12017</v>
      </c>
      <c r="B5" s="3" t="s">
        <v>15</v>
      </c>
      <c r="C5" s="4" t="s">
        <v>12</v>
      </c>
      <c r="D5" s="5">
        <v>1700000</v>
      </c>
      <c r="E5" s="6">
        <f t="shared" si="0"/>
        <v>1360000</v>
      </c>
      <c r="F5" s="6">
        <f t="shared" si="1"/>
        <v>3060000</v>
      </c>
      <c r="G5" s="6">
        <f t="shared" si="2"/>
        <v>367200</v>
      </c>
      <c r="H5" s="6">
        <f t="shared" si="3"/>
        <v>2692800</v>
      </c>
    </row>
    <row r="6" spans="1:8">
      <c r="A6" s="3">
        <v>12022</v>
      </c>
      <c r="B6" s="3" t="s">
        <v>16</v>
      </c>
      <c r="C6" s="4" t="s">
        <v>17</v>
      </c>
      <c r="D6" s="5">
        <v>2350000</v>
      </c>
      <c r="E6" s="6">
        <f t="shared" si="0"/>
        <v>1880000</v>
      </c>
      <c r="F6" s="6">
        <f t="shared" si="1"/>
        <v>4230000</v>
      </c>
      <c r="G6" s="6">
        <f t="shared" si="2"/>
        <v>507600</v>
      </c>
      <c r="H6" s="6">
        <f t="shared" si="3"/>
        <v>3722400</v>
      </c>
    </row>
    <row r="7" spans="1:8">
      <c r="A7" s="3">
        <v>12023</v>
      </c>
      <c r="B7" s="3" t="s">
        <v>18</v>
      </c>
      <c r="C7" s="4" t="s">
        <v>14</v>
      </c>
      <c r="D7" s="5">
        <v>900000</v>
      </c>
      <c r="E7" s="6">
        <f t="shared" si="0"/>
        <v>720000</v>
      </c>
      <c r="F7" s="6">
        <f t="shared" si="1"/>
        <v>1620000</v>
      </c>
      <c r="G7" s="6">
        <f t="shared" si="2"/>
        <v>194400</v>
      </c>
      <c r="H7" s="6">
        <f t="shared" si="3"/>
        <v>1425600</v>
      </c>
    </row>
    <row r="8" spans="1:8">
      <c r="A8" s="3">
        <v>12024</v>
      </c>
      <c r="B8" s="3" t="s">
        <v>19</v>
      </c>
      <c r="C8" s="4" t="s">
        <v>20</v>
      </c>
      <c r="D8" s="5">
        <v>1350000</v>
      </c>
      <c r="E8" s="6">
        <f t="shared" si="0"/>
        <v>1080000</v>
      </c>
      <c r="F8" s="6">
        <f t="shared" si="1"/>
        <v>2430000</v>
      </c>
      <c r="G8" s="6">
        <f t="shared" si="2"/>
        <v>291600</v>
      </c>
      <c r="H8" s="6">
        <f t="shared" si="3"/>
        <v>2138400</v>
      </c>
    </row>
    <row r="9" spans="1:8">
      <c r="A9" s="3">
        <v>12027</v>
      </c>
      <c r="B9" s="3" t="s">
        <v>21</v>
      </c>
      <c r="C9" s="4" t="s">
        <v>14</v>
      </c>
      <c r="D9" s="5">
        <v>9500000</v>
      </c>
      <c r="E9" s="6">
        <f t="shared" si="0"/>
        <v>7600000</v>
      </c>
      <c r="F9" s="6">
        <f t="shared" si="1"/>
        <v>17100000</v>
      </c>
      <c r="G9" s="6">
        <f t="shared" si="2"/>
        <v>2052000</v>
      </c>
      <c r="H9" s="6">
        <f t="shared" si="3"/>
        <v>15048000</v>
      </c>
    </row>
    <row r="10" spans="1:8">
      <c r="A10" s="3">
        <v>12031</v>
      </c>
      <c r="B10" s="3" t="s">
        <v>22</v>
      </c>
      <c r="C10" s="4" t="s">
        <v>17</v>
      </c>
      <c r="D10" s="5">
        <v>2500000</v>
      </c>
      <c r="E10" s="6">
        <f t="shared" si="0"/>
        <v>2000000</v>
      </c>
      <c r="F10" s="6">
        <f t="shared" si="1"/>
        <v>4500000</v>
      </c>
      <c r="G10" s="6">
        <f t="shared" si="2"/>
        <v>540000</v>
      </c>
      <c r="H10" s="6">
        <f t="shared" si="3"/>
        <v>3960000</v>
      </c>
    </row>
    <row r="11" spans="1:8">
      <c r="A11" s="3">
        <v>12036</v>
      </c>
      <c r="B11" s="3" t="s">
        <v>23</v>
      </c>
      <c r="C11" s="4" t="s">
        <v>20</v>
      </c>
      <c r="D11" s="5">
        <v>1200000</v>
      </c>
      <c r="E11" s="6">
        <f t="shared" si="0"/>
        <v>960000</v>
      </c>
      <c r="F11" s="6">
        <f t="shared" si="1"/>
        <v>2160000</v>
      </c>
      <c r="G11" s="6">
        <f t="shared" si="2"/>
        <v>259200</v>
      </c>
      <c r="H11" s="6">
        <f t="shared" si="3"/>
        <v>1900800</v>
      </c>
    </row>
    <row r="12" spans="1:8">
      <c r="A12" s="3">
        <v>12037</v>
      </c>
      <c r="B12" s="3" t="s">
        <v>24</v>
      </c>
      <c r="C12" s="4" t="s">
        <v>20</v>
      </c>
      <c r="D12" s="5">
        <v>1200000</v>
      </c>
      <c r="E12" s="6">
        <f t="shared" si="0"/>
        <v>960000</v>
      </c>
      <c r="F12" s="6">
        <f t="shared" si="1"/>
        <v>2160000</v>
      </c>
      <c r="G12" s="6">
        <f t="shared" si="2"/>
        <v>259200</v>
      </c>
      <c r="H12" s="6">
        <f t="shared" si="3"/>
        <v>1900800</v>
      </c>
    </row>
    <row r="13" spans="1:8">
      <c r="A13" s="3">
        <v>12038</v>
      </c>
      <c r="B13" s="3" t="s">
        <v>25</v>
      </c>
      <c r="C13" s="4" t="s">
        <v>14</v>
      </c>
      <c r="D13" s="5">
        <v>1000000</v>
      </c>
      <c r="E13" s="6">
        <f t="shared" si="0"/>
        <v>800000</v>
      </c>
      <c r="F13" s="6">
        <f t="shared" si="1"/>
        <v>1800000</v>
      </c>
      <c r="G13" s="6">
        <f t="shared" si="2"/>
        <v>216000</v>
      </c>
      <c r="H13" s="6">
        <f t="shared" si="3"/>
        <v>1584000</v>
      </c>
    </row>
  </sheetData>
  <mergeCells count="1">
    <mergeCell ref="A1:H1"/>
  </mergeCells>
  <phoneticPr fontId="2" type="noConversion"/>
  <pageMargins left="0.75" right="0.75" top="1" bottom="1" header="0.5" footer="0.5"/>
  <pageSetup paperSize="9" orientation="portrait" horizontalDpi="4294967292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3</vt:i4>
      </vt:variant>
    </vt:vector>
  </HeadingPairs>
  <TitlesOfParts>
    <vt:vector size="3" baseType="lpstr">
      <vt:lpstr>무작정따라하기</vt:lpstr>
      <vt:lpstr>기출01</vt:lpstr>
      <vt:lpstr>기출02</vt:lpstr>
    </vt:vector>
  </TitlesOfParts>
  <Company>길벗R&amp;D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김종일</dc:creator>
  <cp:lastModifiedBy>Windows User</cp:lastModifiedBy>
  <dcterms:created xsi:type="dcterms:W3CDTF">2011-06-14T09:24:22Z</dcterms:created>
  <dcterms:modified xsi:type="dcterms:W3CDTF">2018-11-15T06:17:02Z</dcterms:modified>
</cp:coreProperties>
</file>