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인문학 엑셀\기말\"/>
    </mc:Choice>
  </mc:AlternateContent>
  <bookViews>
    <workbookView xWindow="480" yWindow="60" windowWidth="18195" windowHeight="11820"/>
  </bookViews>
  <sheets>
    <sheet name="무작정따라하기" sheetId="4" r:id="rId1"/>
    <sheet name="기출01" sheetId="5" r:id="rId2"/>
    <sheet name="기출02" sheetId="6" r:id="rId3"/>
  </sheets>
  <calcPr calcId="152511"/>
</workbook>
</file>

<file path=xl/calcChain.xml><?xml version="1.0" encoding="utf-8"?>
<calcChain xmlns="http://schemas.openxmlformats.org/spreadsheetml/2006/main">
  <c r="H10" i="6" l="1"/>
  <c r="H9" i="6"/>
  <c r="H8" i="6"/>
  <c r="H7" i="6"/>
  <c r="H6" i="6"/>
  <c r="H5" i="6"/>
  <c r="H4" i="6"/>
  <c r="H3" i="6"/>
  <c r="H15" i="5"/>
  <c r="G15" i="5"/>
  <c r="F15" i="5"/>
  <c r="E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I15" i="5" s="1"/>
</calcChain>
</file>

<file path=xl/sharedStrings.xml><?xml version="1.0" encoding="utf-8"?>
<sst xmlns="http://schemas.openxmlformats.org/spreadsheetml/2006/main" count="101" uniqueCount="76">
  <si>
    <t xml:space="preserve">품명 </t>
  </si>
  <si>
    <t>수량</t>
  </si>
  <si>
    <t>원가</t>
  </si>
  <si>
    <t>불량률</t>
  </si>
  <si>
    <t>목표매출액</t>
  </si>
  <si>
    <t>점수</t>
  </si>
  <si>
    <t>학번</t>
  </si>
  <si>
    <t>이름</t>
  </si>
  <si>
    <t>학과</t>
  </si>
  <si>
    <t>성별</t>
  </si>
  <si>
    <t>W001</t>
  </si>
  <si>
    <t>도자기</t>
  </si>
  <si>
    <t>웹디자인과</t>
  </si>
  <si>
    <t>남</t>
  </si>
  <si>
    <t>S002</t>
  </si>
  <si>
    <t>이용실</t>
  </si>
  <si>
    <t>사무자동화과</t>
  </si>
  <si>
    <t>S003</t>
  </si>
  <si>
    <t>차새대</t>
  </si>
  <si>
    <t>여</t>
  </si>
  <si>
    <t>W002</t>
  </si>
  <si>
    <t>정든별</t>
  </si>
  <si>
    <t>S001</t>
  </si>
  <si>
    <t>박달재</t>
  </si>
  <si>
    <t>J001</t>
  </si>
  <si>
    <t>강정국</t>
  </si>
  <si>
    <t>정보처리과</t>
  </si>
  <si>
    <t>J003</t>
  </si>
  <si>
    <t>송지연</t>
  </si>
  <si>
    <t>W003</t>
  </si>
  <si>
    <t>황무지</t>
  </si>
  <si>
    <t>J004</t>
  </si>
  <si>
    <t>장승목</t>
  </si>
  <si>
    <t>J002</t>
  </si>
  <si>
    <t>나자윤</t>
  </si>
  <si>
    <t>평균</t>
  </si>
  <si>
    <t>1월</t>
  </si>
  <si>
    <t>사원</t>
  </si>
  <si>
    <t>영업2부</t>
  </si>
  <si>
    <t>노지심</t>
  </si>
  <si>
    <t>영업1부</t>
  </si>
  <si>
    <t>송치윤</t>
  </si>
  <si>
    <t>영업4부</t>
  </si>
  <si>
    <t>영업3부</t>
  </si>
  <si>
    <t>이수진</t>
  </si>
  <si>
    <t>이관우</t>
    <phoneticPr fontId="5" type="noConversion"/>
  </si>
  <si>
    <t>이봉주</t>
    <phoneticPr fontId="5" type="noConversion"/>
  </si>
  <si>
    <t>이양양</t>
    <phoneticPr fontId="5" type="noConversion"/>
  </si>
  <si>
    <t>영업2부</t>
    <phoneticPr fontId="3" type="noConversion"/>
  </si>
  <si>
    <t>㈜ 대구상사 사원별 영업실적</t>
    <phoneticPr fontId="3" type="noConversion"/>
  </si>
  <si>
    <t>사번</t>
    <phoneticPr fontId="3" type="noConversion"/>
  </si>
  <si>
    <t>이름</t>
    <phoneticPr fontId="3" type="noConversion"/>
  </si>
  <si>
    <t>직책</t>
    <phoneticPr fontId="3" type="noConversion"/>
  </si>
  <si>
    <t>부서</t>
    <phoneticPr fontId="3" type="noConversion"/>
  </si>
  <si>
    <t>2월</t>
    <phoneticPr fontId="5" type="noConversion"/>
  </si>
  <si>
    <t>3월</t>
    <phoneticPr fontId="3" type="noConversion"/>
  </si>
  <si>
    <t>합계</t>
    <phoneticPr fontId="3" type="noConversion"/>
  </si>
  <si>
    <t>김사원</t>
    <phoneticPr fontId="5" type="noConversion"/>
  </si>
  <si>
    <t>김흥부</t>
    <phoneticPr fontId="5" type="noConversion"/>
  </si>
  <si>
    <t>컴퓨터개론 성적 일람표</t>
    <phoneticPr fontId="3" type="noConversion"/>
  </si>
  <si>
    <t>합계</t>
    <phoneticPr fontId="4" type="noConversion"/>
  </si>
  <si>
    <t>중간</t>
    <phoneticPr fontId="4" type="noConversion"/>
  </si>
  <si>
    <t>기말</t>
    <phoneticPr fontId="4" type="noConversion"/>
  </si>
  <si>
    <t>출석</t>
    <phoneticPr fontId="4" type="noConversion"/>
  </si>
  <si>
    <t>과제</t>
    <phoneticPr fontId="4" type="noConversion"/>
  </si>
  <si>
    <t>총점</t>
    <phoneticPr fontId="4" type="noConversion"/>
  </si>
  <si>
    <t>생산비용</t>
    <phoneticPr fontId="3" type="noConversion"/>
  </si>
  <si>
    <t>볼펜</t>
    <phoneticPr fontId="3" type="noConversion"/>
  </si>
  <si>
    <t>만년필</t>
    <phoneticPr fontId="3" type="noConversion"/>
  </si>
  <si>
    <t>CD-R</t>
    <phoneticPr fontId="3" type="noConversion"/>
  </si>
  <si>
    <t>DVD</t>
    <phoneticPr fontId="3" type="noConversion"/>
  </si>
  <si>
    <t>형광펜</t>
    <phoneticPr fontId="3" type="noConversion"/>
  </si>
  <si>
    <t>플러스펜</t>
    <phoneticPr fontId="3" type="noConversion"/>
  </si>
  <si>
    <t>합      계</t>
    <phoneticPr fontId="3" type="noConversion"/>
  </si>
  <si>
    <t>7월 문구 생산현황</t>
    <phoneticPr fontId="3" type="noConversion"/>
  </si>
  <si>
    <t>영업2부 영업실적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</si>
</sst>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10" x14ac:knownFonts="1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9"/>
      <name val="돋움"/>
      <family val="3"/>
      <charset val="129"/>
    </font>
    <font>
      <sz val="12"/>
      <name val="맑은 고딕"/>
      <family val="3"/>
      <charset val="129"/>
    </font>
    <font>
      <sz val="11"/>
      <name val="맑은 고딕"/>
      <family val="3"/>
      <charset val="129"/>
    </font>
    <font>
      <b/>
      <sz val="14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5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27">
    <xf numFmtId="0" fontId="0" fillId="0" borderId="0" xfId="0">
      <alignment vertical="center"/>
    </xf>
    <xf numFmtId="0" fontId="6" fillId="0" borderId="0" xfId="1" applyFont="1"/>
    <xf numFmtId="0" fontId="7" fillId="0" borderId="0" xfId="1" applyFont="1"/>
    <xf numFmtId="0" fontId="7" fillId="0" borderId="2" xfId="1" applyNumberFormat="1" applyFont="1" applyFill="1" applyBorder="1" applyAlignment="1">
      <alignment horizontal="center" vertical="center"/>
    </xf>
    <xf numFmtId="0" fontId="7" fillId="0" borderId="2" xfId="4" applyNumberFormat="1" applyFont="1" applyFill="1" applyBorder="1" applyAlignment="1">
      <alignment horizontal="center" vertical="center"/>
    </xf>
    <xf numFmtId="0" fontId="7" fillId="0" borderId="2" xfId="3" applyNumberFormat="1" applyFont="1" applyFill="1" applyBorder="1" applyAlignment="1">
      <alignment horizontal="center" vertical="center"/>
    </xf>
    <xf numFmtId="0" fontId="7" fillId="0" borderId="2" xfId="3" applyNumberFormat="1" applyFont="1" applyBorder="1" applyAlignment="1">
      <alignment horizontal="center"/>
    </xf>
    <xf numFmtId="0" fontId="7" fillId="0" borderId="6" xfId="1" applyFont="1" applyBorder="1"/>
    <xf numFmtId="0" fontId="7" fillId="0" borderId="7" xfId="1" applyFont="1" applyBorder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3" fontId="7" fillId="0" borderId="7" xfId="1" applyNumberFormat="1" applyFont="1" applyBorder="1" applyAlignment="1">
      <alignment horizontal="center" vertical="center"/>
    </xf>
    <xf numFmtId="3" fontId="7" fillId="0" borderId="2" xfId="1" applyNumberFormat="1" applyFont="1" applyBorder="1" applyAlignment="1">
      <alignment horizontal="center" vertical="center"/>
    </xf>
    <xf numFmtId="0" fontId="7" fillId="0" borderId="2" xfId="1" applyFont="1" applyBorder="1" applyAlignment="1">
      <alignment horizontal="center"/>
    </xf>
    <xf numFmtId="0" fontId="7" fillId="0" borderId="8" xfId="1" applyFont="1" applyBorder="1" applyAlignment="1">
      <alignment horizontal="center"/>
    </xf>
    <xf numFmtId="0" fontId="7" fillId="0" borderId="2" xfId="1" applyFont="1" applyFill="1" applyBorder="1" applyAlignment="1">
      <alignment horizontal="center"/>
    </xf>
    <xf numFmtId="9" fontId="9" fillId="0" borderId="2" xfId="2" applyFont="1" applyFill="1" applyBorder="1" applyAlignment="1">
      <alignment horizontal="center"/>
    </xf>
    <xf numFmtId="0" fontId="7" fillId="0" borderId="2" xfId="3" applyNumberFormat="1" applyFont="1" applyFill="1" applyBorder="1" applyAlignment="1">
      <alignment horizontal="center"/>
    </xf>
    <xf numFmtId="41" fontId="7" fillId="0" borderId="2" xfId="3" applyFont="1" applyFill="1" applyBorder="1" applyAlignment="1">
      <alignment horizontal="center"/>
    </xf>
    <xf numFmtId="41" fontId="7" fillId="0" borderId="2" xfId="1" applyNumberFormat="1" applyFont="1" applyFill="1" applyBorder="1" applyAlignment="1">
      <alignment horizontal="center"/>
    </xf>
    <xf numFmtId="0" fontId="8" fillId="0" borderId="1" xfId="1" applyFont="1" applyFill="1" applyBorder="1" applyAlignment="1">
      <alignment horizontal="center"/>
    </xf>
    <xf numFmtId="0" fontId="7" fillId="0" borderId="3" xfId="1" applyFont="1" applyFill="1" applyBorder="1" applyAlignment="1">
      <alignment horizontal="center"/>
    </xf>
    <xf numFmtId="0" fontId="7" fillId="0" borderId="4" xfId="1" applyFont="1" applyFill="1" applyBorder="1" applyAlignment="1">
      <alignment horizontal="center"/>
    </xf>
    <xf numFmtId="0" fontId="7" fillId="0" borderId="5" xfId="1" applyFont="1" applyFill="1" applyBorder="1" applyAlignment="1">
      <alignment horizontal="center"/>
    </xf>
    <xf numFmtId="0" fontId="8" fillId="0" borderId="0" xfId="1" applyFont="1" applyAlignment="1">
      <alignment horizontal="center"/>
    </xf>
    <xf numFmtId="0" fontId="7" fillId="0" borderId="5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</cellXfs>
  <cellStyles count="5">
    <cellStyle name="백분율 2" xfId="2"/>
    <cellStyle name="쉼표 [0] 2" xfId="3"/>
    <cellStyle name="통화 [0] 2" xfId="4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불량률 및 생산비용</a:t>
            </a:r>
          </a:p>
        </c:rich>
      </c:tx>
      <c:layout/>
      <c:overlay val="0"/>
      <c:spPr>
        <a:noFill/>
        <a:ln>
          <a:solidFill>
            <a:schemeClr val="bg2">
              <a:lumMod val="1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무작정따라하기!$D$2</c:f>
              <c:strCache>
                <c:ptCount val="1"/>
                <c:pt idx="0">
                  <c:v>불량률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3.0120633205744991E-2"/>
                  <c:y val="-4.07673768536316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무작정따라하기!$A$3:$A$8</c:f>
              <c:strCache>
                <c:ptCount val="6"/>
                <c:pt idx="0">
                  <c:v>볼펜</c:v>
                </c:pt>
                <c:pt idx="1">
                  <c:v>만년필</c:v>
                </c:pt>
                <c:pt idx="2">
                  <c:v>CD-R</c:v>
                </c:pt>
                <c:pt idx="3">
                  <c:v>DVD</c:v>
                </c:pt>
                <c:pt idx="4">
                  <c:v>형광펜</c:v>
                </c:pt>
                <c:pt idx="5">
                  <c:v>플러스펜</c:v>
                </c:pt>
              </c:strCache>
            </c:strRef>
          </c:cat>
          <c:val>
            <c:numRef>
              <c:f>무작정따라하기!$D$3:$D$8</c:f>
              <c:numCache>
                <c:formatCode>0%</c:formatCode>
                <c:ptCount val="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0.03</c:v>
                </c:pt>
                <c:pt idx="5">
                  <c:v>0.02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52128496"/>
        <c:axId val="352127712"/>
      </c:barChart>
      <c:lineChart>
        <c:grouping val="standard"/>
        <c:varyColors val="0"/>
        <c:ser>
          <c:idx val="1"/>
          <c:order val="1"/>
          <c:tx>
            <c:strRef>
              <c:f>무작정따라하기!$E$2</c:f>
              <c:strCache>
                <c:ptCount val="1"/>
                <c:pt idx="0">
                  <c:v>생산비용</c:v>
                </c:pt>
              </c:strCache>
            </c:strRef>
          </c:tx>
          <c:spPr>
            <a:ln w="508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무작정따라하기!$A$3:$A$8</c:f>
              <c:strCache>
                <c:ptCount val="6"/>
                <c:pt idx="0">
                  <c:v>볼펜</c:v>
                </c:pt>
                <c:pt idx="1">
                  <c:v>만년필</c:v>
                </c:pt>
                <c:pt idx="2">
                  <c:v>CD-R</c:v>
                </c:pt>
                <c:pt idx="3">
                  <c:v>DVD</c:v>
                </c:pt>
                <c:pt idx="4">
                  <c:v>형광펜</c:v>
                </c:pt>
                <c:pt idx="5">
                  <c:v>플러스펜</c:v>
                </c:pt>
              </c:strCache>
            </c:strRef>
          </c:cat>
          <c:val>
            <c:numRef>
              <c:f>무작정따라하기!$E$3:$E$8</c:f>
              <c:numCache>
                <c:formatCode>General</c:formatCode>
                <c:ptCount val="6"/>
                <c:pt idx="0">
                  <c:v>5220000</c:v>
                </c:pt>
                <c:pt idx="1">
                  <c:v>17628000</c:v>
                </c:pt>
                <c:pt idx="2">
                  <c:v>19176000</c:v>
                </c:pt>
                <c:pt idx="3">
                  <c:v>23400000</c:v>
                </c:pt>
                <c:pt idx="4">
                  <c:v>6076000</c:v>
                </c:pt>
                <c:pt idx="5">
                  <c:v>17480000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729368"/>
        <c:axId val="393730152"/>
      </c:lineChart>
      <c:catAx>
        <c:axId val="35212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2127712"/>
        <c:crosses val="autoZero"/>
        <c:auto val="1"/>
        <c:lblAlgn val="ctr"/>
        <c:lblOffset val="100"/>
        <c:noMultiLvlLbl val="0"/>
      </c:catAx>
      <c:valAx>
        <c:axId val="35212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gradFill>
              <a:gsLst>
                <a:gs pos="68000">
                  <a:srgbClr val="FF0000"/>
                </a:gs>
                <a:gs pos="23000">
                  <a:srgbClr val="FFFF00"/>
                </a:gs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2128496"/>
        <c:crosses val="autoZero"/>
        <c:crossBetween val="between"/>
      </c:valAx>
      <c:valAx>
        <c:axId val="393730152"/>
        <c:scaling>
          <c:orientation val="minMax"/>
          <c:max val="300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3729368"/>
        <c:crosses val="max"/>
        <c:crossBetween val="between"/>
        <c:majorUnit val="10000000"/>
      </c:valAx>
      <c:catAx>
        <c:axId val="393729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373015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gradFill>
            <a:gsLst>
              <a:gs pos="24000">
                <a:schemeClr val="accent6">
                  <a:lumMod val="75000"/>
                </a:schemeClr>
              </a:gs>
              <a:gs pos="0">
                <a:schemeClr val="accent1">
                  <a:lumMod val="5000"/>
                  <a:lumOff val="95000"/>
                </a:schemeClr>
              </a:gs>
              <a:gs pos="52000">
                <a:schemeClr val="accent1">
                  <a:lumMod val="45000"/>
                  <a:lumOff val="55000"/>
                </a:schemeClr>
              </a:gs>
              <a:gs pos="8000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기출01!$E$4</c:f>
              <c:strCache>
                <c:ptCount val="1"/>
                <c:pt idx="0">
                  <c:v>중간</c:v>
                </c:pt>
              </c:strCache>
            </c:strRef>
          </c:tx>
          <c:invertIfNegative val="0"/>
          <c:cat>
            <c:strRef>
              <c:f>(기출01!$B$5:$B$6,기출01!$B$9:$B$10,기출01!$B$12:$B$13)</c:f>
              <c:strCache>
                <c:ptCount val="6"/>
                <c:pt idx="0">
                  <c:v>도자기</c:v>
                </c:pt>
                <c:pt idx="1">
                  <c:v>이용실</c:v>
                </c:pt>
                <c:pt idx="2">
                  <c:v>박달재</c:v>
                </c:pt>
                <c:pt idx="3">
                  <c:v>강정국</c:v>
                </c:pt>
                <c:pt idx="4">
                  <c:v>황무지</c:v>
                </c:pt>
                <c:pt idx="5">
                  <c:v>장승목</c:v>
                </c:pt>
              </c:strCache>
            </c:strRef>
          </c:cat>
          <c:val>
            <c:numRef>
              <c:f>(기출01!$E$5:$E$6,기출01!$E$9:$E$10,기출01!$E$12:$E$13)</c:f>
              <c:numCache>
                <c:formatCode>General</c:formatCode>
                <c:ptCount val="6"/>
                <c:pt idx="0">
                  <c:v>27</c:v>
                </c:pt>
                <c:pt idx="1">
                  <c:v>29</c:v>
                </c:pt>
                <c:pt idx="2">
                  <c:v>20</c:v>
                </c:pt>
                <c:pt idx="3">
                  <c:v>28</c:v>
                </c:pt>
                <c:pt idx="4">
                  <c:v>25</c:v>
                </c:pt>
                <c:pt idx="5">
                  <c:v>30</c:v>
                </c:pt>
              </c:numCache>
            </c:numRef>
          </c:val>
        </c:ser>
        <c:ser>
          <c:idx val="1"/>
          <c:order val="1"/>
          <c:tx>
            <c:strRef>
              <c:f>기출01!$F$4</c:f>
              <c:strCache>
                <c:ptCount val="1"/>
                <c:pt idx="0">
                  <c:v>기말</c:v>
                </c:pt>
              </c:strCache>
            </c:strRef>
          </c:tx>
          <c:invertIfNegative val="0"/>
          <c:cat>
            <c:strRef>
              <c:f>(기출01!$B$5:$B$6,기출01!$B$9:$B$10,기출01!$B$12:$B$13)</c:f>
              <c:strCache>
                <c:ptCount val="6"/>
                <c:pt idx="0">
                  <c:v>도자기</c:v>
                </c:pt>
                <c:pt idx="1">
                  <c:v>이용실</c:v>
                </c:pt>
                <c:pt idx="2">
                  <c:v>박달재</c:v>
                </c:pt>
                <c:pt idx="3">
                  <c:v>강정국</c:v>
                </c:pt>
                <c:pt idx="4">
                  <c:v>황무지</c:v>
                </c:pt>
                <c:pt idx="5">
                  <c:v>장승목</c:v>
                </c:pt>
              </c:strCache>
            </c:strRef>
          </c:cat>
          <c:val>
            <c:numRef>
              <c:f>(기출01!$F$5:$F$6,기출01!$F$9:$F$10,기출01!$F$12:$F$13)</c:f>
              <c:numCache>
                <c:formatCode>General</c:formatCode>
                <c:ptCount val="6"/>
                <c:pt idx="0">
                  <c:v>30</c:v>
                </c:pt>
                <c:pt idx="1">
                  <c:v>38</c:v>
                </c:pt>
                <c:pt idx="2">
                  <c:v>35</c:v>
                </c:pt>
                <c:pt idx="3">
                  <c:v>38</c:v>
                </c:pt>
                <c:pt idx="4">
                  <c:v>28</c:v>
                </c:pt>
                <c:pt idx="5">
                  <c:v>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116664"/>
        <c:axId val="351123720"/>
      </c:barChart>
      <c:catAx>
        <c:axId val="351116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51123720"/>
        <c:crosses val="autoZero"/>
        <c:auto val="1"/>
        <c:lblAlgn val="ctr"/>
        <c:lblOffset val="100"/>
        <c:noMultiLvlLbl val="0"/>
      </c:catAx>
      <c:valAx>
        <c:axId val="351123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1116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기출02!$E$2</c:f>
              <c:strCache>
                <c:ptCount val="1"/>
                <c:pt idx="0">
                  <c:v>1월</c:v>
                </c:pt>
              </c:strCache>
            </c:strRef>
          </c:tx>
          <c:cat>
            <c:strRef>
              <c:f>기출02!$B$3:$B$10</c:f>
              <c:strCache>
                <c:ptCount val="8"/>
                <c:pt idx="0">
                  <c:v>김사원</c:v>
                </c:pt>
                <c:pt idx="1">
                  <c:v>김흥부</c:v>
                </c:pt>
                <c:pt idx="2">
                  <c:v>노지심</c:v>
                </c:pt>
                <c:pt idx="3">
                  <c:v>송치윤</c:v>
                </c:pt>
                <c:pt idx="4">
                  <c:v>이관우</c:v>
                </c:pt>
                <c:pt idx="5">
                  <c:v>이봉주</c:v>
                </c:pt>
                <c:pt idx="6">
                  <c:v>이수진</c:v>
                </c:pt>
                <c:pt idx="7">
                  <c:v>이양양</c:v>
                </c:pt>
              </c:strCache>
            </c:strRef>
          </c:cat>
          <c:val>
            <c:numRef>
              <c:f>기출02!$E$3:$E$10</c:f>
              <c:numCache>
                <c:formatCode>General</c:formatCode>
                <c:ptCount val="8"/>
                <c:pt idx="0">
                  <c:v>35200</c:v>
                </c:pt>
                <c:pt idx="1">
                  <c:v>12500</c:v>
                </c:pt>
                <c:pt idx="2">
                  <c:v>62500</c:v>
                </c:pt>
                <c:pt idx="3">
                  <c:v>62533</c:v>
                </c:pt>
                <c:pt idx="4">
                  <c:v>32560</c:v>
                </c:pt>
                <c:pt idx="5">
                  <c:v>64250</c:v>
                </c:pt>
                <c:pt idx="6">
                  <c:v>45850</c:v>
                </c:pt>
                <c:pt idx="7">
                  <c:v>56800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기출02!$F$2</c:f>
              <c:strCache>
                <c:ptCount val="1"/>
                <c:pt idx="0">
                  <c:v>2월</c:v>
                </c:pt>
              </c:strCache>
            </c:strRef>
          </c:tx>
          <c:cat>
            <c:strRef>
              <c:f>기출02!$B$3:$B$10</c:f>
              <c:strCache>
                <c:ptCount val="8"/>
                <c:pt idx="0">
                  <c:v>김사원</c:v>
                </c:pt>
                <c:pt idx="1">
                  <c:v>김흥부</c:v>
                </c:pt>
                <c:pt idx="2">
                  <c:v>노지심</c:v>
                </c:pt>
                <c:pt idx="3">
                  <c:v>송치윤</c:v>
                </c:pt>
                <c:pt idx="4">
                  <c:v>이관우</c:v>
                </c:pt>
                <c:pt idx="5">
                  <c:v>이봉주</c:v>
                </c:pt>
                <c:pt idx="6">
                  <c:v>이수진</c:v>
                </c:pt>
                <c:pt idx="7">
                  <c:v>이양양</c:v>
                </c:pt>
              </c:strCache>
            </c:strRef>
          </c:cat>
          <c:val>
            <c:numRef>
              <c:f>기출02!$F$3:$F$10</c:f>
              <c:numCache>
                <c:formatCode>General</c:formatCode>
                <c:ptCount val="8"/>
                <c:pt idx="0">
                  <c:v>35000</c:v>
                </c:pt>
                <c:pt idx="1">
                  <c:v>21000</c:v>
                </c:pt>
                <c:pt idx="2">
                  <c:v>65000</c:v>
                </c:pt>
                <c:pt idx="3">
                  <c:v>61890</c:v>
                </c:pt>
                <c:pt idx="4">
                  <c:v>33000</c:v>
                </c:pt>
                <c:pt idx="5">
                  <c:v>56000</c:v>
                </c:pt>
                <c:pt idx="6">
                  <c:v>43650</c:v>
                </c:pt>
                <c:pt idx="7">
                  <c:v>60000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기출02!$G$2</c:f>
              <c:strCache>
                <c:ptCount val="1"/>
                <c:pt idx="0">
                  <c:v>3월</c:v>
                </c:pt>
              </c:strCache>
            </c:strRef>
          </c:tx>
          <c:cat>
            <c:strRef>
              <c:f>기출02!$B$3:$B$10</c:f>
              <c:strCache>
                <c:ptCount val="8"/>
                <c:pt idx="0">
                  <c:v>김사원</c:v>
                </c:pt>
                <c:pt idx="1">
                  <c:v>김흥부</c:v>
                </c:pt>
                <c:pt idx="2">
                  <c:v>노지심</c:v>
                </c:pt>
                <c:pt idx="3">
                  <c:v>송치윤</c:v>
                </c:pt>
                <c:pt idx="4">
                  <c:v>이관우</c:v>
                </c:pt>
                <c:pt idx="5">
                  <c:v>이봉주</c:v>
                </c:pt>
                <c:pt idx="6">
                  <c:v>이수진</c:v>
                </c:pt>
                <c:pt idx="7">
                  <c:v>이양양</c:v>
                </c:pt>
              </c:strCache>
            </c:strRef>
          </c:cat>
          <c:val>
            <c:numRef>
              <c:f>기출02!$G$3:$G$10</c:f>
              <c:numCache>
                <c:formatCode>General</c:formatCode>
                <c:ptCount val="8"/>
                <c:pt idx="0">
                  <c:v>36000</c:v>
                </c:pt>
                <c:pt idx="1">
                  <c:v>20000</c:v>
                </c:pt>
                <c:pt idx="2">
                  <c:v>64000</c:v>
                </c:pt>
                <c:pt idx="3">
                  <c:v>63000</c:v>
                </c:pt>
                <c:pt idx="4">
                  <c:v>32000</c:v>
                </c:pt>
                <c:pt idx="5">
                  <c:v>66000</c:v>
                </c:pt>
                <c:pt idx="6">
                  <c:v>48000</c:v>
                </c:pt>
                <c:pt idx="7">
                  <c:v>60500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122544"/>
        <c:axId val="351124112"/>
      </c:lineChart>
      <c:catAx>
        <c:axId val="3511225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51124112"/>
        <c:crosses val="autoZero"/>
        <c:auto val="1"/>
        <c:lblAlgn val="ctr"/>
        <c:lblOffset val="100"/>
        <c:noMultiLvlLbl val="0"/>
      </c:catAx>
      <c:valAx>
        <c:axId val="35112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1122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452156</xdr:colOff>
      <xdr:row>4</xdr:row>
      <xdr:rowOff>44823</xdr:rowOff>
    </xdr:from>
    <xdr:to>
      <xdr:col>9</xdr:col>
      <xdr:colOff>571500</xdr:colOff>
      <xdr:row>18</xdr:row>
      <xdr:rowOff>179295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459441</xdr:colOff>
      <xdr:row>20</xdr:row>
      <xdr:rowOff>33617</xdr:rowOff>
    </xdr:from>
    <xdr:to>
      <xdr:col>16</xdr:col>
      <xdr:colOff>61632</xdr:colOff>
      <xdr:row>39</xdr:row>
      <xdr:rowOff>198904</xdr:rowOff>
    </xdr:to>
    <xdr:pic>
      <xdr:nvPicPr>
        <xdr:cNvPr id="4" name="그림 3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94" t="23523" r="12575" b="28128"/>
        <a:stretch/>
      </xdr:blipFill>
      <xdr:spPr>
        <a:xfrm>
          <a:off x="1143000" y="4336676"/>
          <a:ext cx="10752044" cy="4210610"/>
        </a:xfrm>
        <a:prstGeom prst="rect">
          <a:avLst/>
        </a:prstGeom>
      </xdr:spPr>
    </xdr:pic>
    <xdr:clientData/>
  </xdr:twoCellAnchor>
  <xdr:twoCellAnchor editAs="oneCell">
    <xdr:from>
      <xdr:col>1</xdr:col>
      <xdr:colOff>414617</xdr:colOff>
      <xdr:row>40</xdr:row>
      <xdr:rowOff>89648</xdr:rowOff>
    </xdr:from>
    <xdr:to>
      <xdr:col>11</xdr:col>
      <xdr:colOff>434939</xdr:colOff>
      <xdr:row>67</xdr:row>
      <xdr:rowOff>93411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8176" y="8650942"/>
          <a:ext cx="7752381" cy="5752381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0.69515</cdr:x>
      <cdr:y>0.19784</cdr:y>
    </cdr:from>
    <cdr:to>
      <cdr:x>0.84366</cdr:x>
      <cdr:y>0.30578</cdr:y>
    </cdr:to>
    <cdr:sp macro="" textlink="">
      <cdr:nvSpPr>
        <cdr:cNvPr id="2" name="설명선 2 1"/>
        <cdr:cNvSpPr/>
      </cdr:nvSpPr>
      <cdr:spPr>
        <a:xfrm xmlns:a="http://schemas.openxmlformats.org/drawingml/2006/main">
          <a:off x="4982697" y="616324"/>
          <a:ext cx="1064559" cy="336246"/>
        </a:xfrm>
        <a:prstGeom xmlns:a="http://schemas.openxmlformats.org/drawingml/2006/main"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16500"/>
            <a:gd name="adj6" fmla="val -56141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>
          <a:spAutoFit/>
        </a:bodyPr>
        <a:lstStyle xmlns:a="http://schemas.openxmlformats.org/drawingml/2006/main"/>
        <a:p xmlns:a="http://schemas.openxmlformats.org/drawingml/2006/main">
          <a:r>
            <a:rPr lang="ko-KR" altLang="en-US"/>
            <a:t>불량률</a:t>
          </a:r>
          <a:endParaRPr lang="en-US" altLang="ko-KR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0</xdr:rowOff>
    </xdr:from>
    <xdr:to>
      <xdr:col>6</xdr:col>
      <xdr:colOff>685799</xdr:colOff>
      <xdr:row>35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tabSelected="1" zoomScale="85" zoomScaleNormal="85" workbookViewId="0">
      <selection activeCell="H3" sqref="H3"/>
    </sheetView>
  </sheetViews>
  <sheetFormatPr defaultRowHeight="16.5" x14ac:dyDescent="0.3"/>
  <cols>
    <col min="1" max="4" width="9" style="2"/>
    <col min="5" max="5" width="14.25" style="2" bestFit="1" customWidth="1"/>
    <col min="6" max="6" width="15.5" style="2" bestFit="1" customWidth="1"/>
    <col min="7" max="16384" width="9" style="2"/>
  </cols>
  <sheetData>
    <row r="1" spans="1:6" ht="20.25" x14ac:dyDescent="0.35">
      <c r="A1" s="20" t="s">
        <v>74</v>
      </c>
      <c r="B1" s="20"/>
      <c r="C1" s="20"/>
      <c r="D1" s="20"/>
      <c r="E1" s="20"/>
      <c r="F1" s="20"/>
    </row>
    <row r="2" spans="1:6" x14ac:dyDescent="0.3">
      <c r="A2" s="15" t="s">
        <v>0</v>
      </c>
      <c r="B2" s="15" t="s">
        <v>1</v>
      </c>
      <c r="C2" s="15" t="s">
        <v>2</v>
      </c>
      <c r="D2" s="15" t="s">
        <v>3</v>
      </c>
      <c r="E2" s="15" t="s">
        <v>66</v>
      </c>
      <c r="F2" s="15" t="s">
        <v>4</v>
      </c>
    </row>
    <row r="3" spans="1:6" x14ac:dyDescent="0.3">
      <c r="A3" s="15" t="s">
        <v>67</v>
      </c>
      <c r="B3" s="15">
        <v>43500</v>
      </c>
      <c r="C3" s="15">
        <v>120</v>
      </c>
      <c r="D3" s="16">
        <v>0.02</v>
      </c>
      <c r="E3" s="17">
        <v>5220000</v>
      </c>
      <c r="F3" s="18">
        <v>5400000</v>
      </c>
    </row>
    <row r="4" spans="1:6" x14ac:dyDescent="0.3">
      <c r="A4" s="15" t="s">
        <v>68</v>
      </c>
      <c r="B4" s="15">
        <v>15600</v>
      </c>
      <c r="C4" s="15">
        <v>1130</v>
      </c>
      <c r="D4" s="16">
        <v>0.03</v>
      </c>
      <c r="E4" s="17">
        <v>17628000</v>
      </c>
      <c r="F4" s="18">
        <v>21357000</v>
      </c>
    </row>
    <row r="5" spans="1:6" x14ac:dyDescent="0.3">
      <c r="A5" s="15" t="s">
        <v>69</v>
      </c>
      <c r="B5" s="15">
        <v>56400</v>
      </c>
      <c r="C5" s="15">
        <v>340</v>
      </c>
      <c r="D5" s="16">
        <v>0.04</v>
      </c>
      <c r="E5" s="17">
        <v>19176000</v>
      </c>
      <c r="F5" s="18">
        <v>21080000</v>
      </c>
    </row>
    <row r="6" spans="1:6" x14ac:dyDescent="0.3">
      <c r="A6" s="15" t="s">
        <v>70</v>
      </c>
      <c r="B6" s="15">
        <v>15000</v>
      </c>
      <c r="C6" s="15">
        <v>1560</v>
      </c>
      <c r="D6" s="16">
        <v>0.05</v>
      </c>
      <c r="E6" s="17">
        <v>23400000</v>
      </c>
      <c r="F6" s="18">
        <v>28080000</v>
      </c>
    </row>
    <row r="7" spans="1:6" x14ac:dyDescent="0.3">
      <c r="A7" s="15" t="s">
        <v>71</v>
      </c>
      <c r="B7" s="15">
        <v>12400</v>
      </c>
      <c r="C7" s="15">
        <v>490</v>
      </c>
      <c r="D7" s="16">
        <v>0.03</v>
      </c>
      <c r="E7" s="17">
        <v>6076000</v>
      </c>
      <c r="F7" s="18">
        <v>10290000</v>
      </c>
    </row>
    <row r="8" spans="1:6" x14ac:dyDescent="0.3">
      <c r="A8" s="15" t="s">
        <v>72</v>
      </c>
      <c r="B8" s="15">
        <v>76000</v>
      </c>
      <c r="C8" s="15">
        <v>230</v>
      </c>
      <c r="D8" s="16">
        <v>0.02</v>
      </c>
      <c r="E8" s="17">
        <v>17480000</v>
      </c>
      <c r="F8" s="18">
        <v>19550000</v>
      </c>
    </row>
    <row r="9" spans="1:6" x14ac:dyDescent="0.3">
      <c r="A9" s="21" t="s">
        <v>73</v>
      </c>
      <c r="B9" s="22"/>
      <c r="C9" s="22"/>
      <c r="D9" s="23"/>
      <c r="E9" s="19">
        <v>88980000</v>
      </c>
      <c r="F9" s="19">
        <v>105757000</v>
      </c>
    </row>
  </sheetData>
  <mergeCells count="2">
    <mergeCell ref="A1:F1"/>
    <mergeCell ref="A9:D9"/>
  </mergeCells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"/>
  <sheetViews>
    <sheetView workbookViewId="0">
      <selection sqref="A1:J1"/>
    </sheetView>
  </sheetViews>
  <sheetFormatPr defaultRowHeight="16.5" x14ac:dyDescent="0.3"/>
  <cols>
    <col min="1" max="2" width="9" style="2"/>
    <col min="3" max="3" width="13.125" style="2" bestFit="1" customWidth="1"/>
    <col min="4" max="16384" width="9" style="2"/>
  </cols>
  <sheetData>
    <row r="1" spans="1:10" ht="20.25" x14ac:dyDescent="0.35">
      <c r="A1" s="24" t="s">
        <v>59</v>
      </c>
      <c r="B1" s="24"/>
      <c r="C1" s="24"/>
      <c r="D1" s="24"/>
      <c r="E1" s="24"/>
      <c r="F1" s="24"/>
      <c r="G1" s="24"/>
      <c r="H1" s="24"/>
      <c r="I1" s="24"/>
      <c r="J1" s="24"/>
    </row>
    <row r="3" spans="1:10" x14ac:dyDescent="0.3">
      <c r="A3" s="7"/>
      <c r="B3" s="7"/>
      <c r="C3" s="7"/>
      <c r="D3" s="7"/>
      <c r="E3" s="25" t="s">
        <v>5</v>
      </c>
      <c r="F3" s="26"/>
      <c r="G3" s="26"/>
      <c r="H3" s="26"/>
      <c r="I3" s="26"/>
      <c r="J3" s="26" t="s">
        <v>60</v>
      </c>
    </row>
    <row r="4" spans="1:10" x14ac:dyDescent="0.3">
      <c r="A4" s="8" t="s">
        <v>6</v>
      </c>
      <c r="B4" s="8" t="s">
        <v>7</v>
      </c>
      <c r="C4" s="8" t="s">
        <v>8</v>
      </c>
      <c r="D4" s="8" t="s">
        <v>9</v>
      </c>
      <c r="E4" s="9" t="s">
        <v>61</v>
      </c>
      <c r="F4" s="10" t="s">
        <v>62</v>
      </c>
      <c r="G4" s="10" t="s">
        <v>63</v>
      </c>
      <c r="H4" s="10" t="s">
        <v>64</v>
      </c>
      <c r="I4" s="10" t="s">
        <v>65</v>
      </c>
      <c r="J4" s="26"/>
    </row>
    <row r="5" spans="1:10" x14ac:dyDescent="0.3">
      <c r="A5" s="8" t="s">
        <v>10</v>
      </c>
      <c r="B5" s="8" t="s">
        <v>11</v>
      </c>
      <c r="C5" s="8" t="s">
        <v>12</v>
      </c>
      <c r="D5" s="11" t="s">
        <v>13</v>
      </c>
      <c r="E5" s="10">
        <v>27</v>
      </c>
      <c r="F5" s="10">
        <v>30</v>
      </c>
      <c r="G5" s="12">
        <v>8</v>
      </c>
      <c r="H5" s="12">
        <v>12</v>
      </c>
      <c r="I5" s="10">
        <f t="shared" ref="I5:I14" si="0">SUM(E5:H5)</f>
        <v>77</v>
      </c>
      <c r="J5" s="13">
        <f>SUM(E5:F5)</f>
        <v>57</v>
      </c>
    </row>
    <row r="6" spans="1:10" x14ac:dyDescent="0.3">
      <c r="A6" s="10" t="s">
        <v>14</v>
      </c>
      <c r="B6" s="10" t="s">
        <v>15</v>
      </c>
      <c r="C6" s="10" t="s">
        <v>16</v>
      </c>
      <c r="D6" s="12" t="s">
        <v>13</v>
      </c>
      <c r="E6" s="10">
        <v>29</v>
      </c>
      <c r="F6" s="10">
        <v>38</v>
      </c>
      <c r="G6" s="12">
        <v>10</v>
      </c>
      <c r="H6" s="12">
        <v>19</v>
      </c>
      <c r="I6" s="10">
        <f t="shared" si="0"/>
        <v>96</v>
      </c>
      <c r="J6" s="13">
        <f t="shared" ref="J6:J14" si="1">SUM(E6:F6)</f>
        <v>67</v>
      </c>
    </row>
    <row r="7" spans="1:10" x14ac:dyDescent="0.3">
      <c r="A7" s="10" t="s">
        <v>17</v>
      </c>
      <c r="B7" s="10" t="s">
        <v>18</v>
      </c>
      <c r="C7" s="10" t="s">
        <v>16</v>
      </c>
      <c r="D7" s="12" t="s">
        <v>19</v>
      </c>
      <c r="E7" s="10">
        <v>25</v>
      </c>
      <c r="F7" s="10">
        <v>34</v>
      </c>
      <c r="G7" s="12">
        <v>8</v>
      </c>
      <c r="H7" s="12">
        <v>20</v>
      </c>
      <c r="I7" s="10">
        <f>SUM(E7:H7)</f>
        <v>87</v>
      </c>
      <c r="J7" s="13">
        <f>SUM(E7:F7)</f>
        <v>59</v>
      </c>
    </row>
    <row r="8" spans="1:10" x14ac:dyDescent="0.3">
      <c r="A8" s="10" t="s">
        <v>20</v>
      </c>
      <c r="B8" s="10" t="s">
        <v>21</v>
      </c>
      <c r="C8" s="10" t="s">
        <v>12</v>
      </c>
      <c r="D8" s="12" t="s">
        <v>19</v>
      </c>
      <c r="E8" s="10">
        <v>29</v>
      </c>
      <c r="F8" s="10">
        <v>40</v>
      </c>
      <c r="G8" s="12">
        <v>10</v>
      </c>
      <c r="H8" s="12">
        <v>18</v>
      </c>
      <c r="I8" s="10">
        <f t="shared" si="0"/>
        <v>97</v>
      </c>
      <c r="J8" s="13">
        <f t="shared" si="1"/>
        <v>69</v>
      </c>
    </row>
    <row r="9" spans="1:10" x14ac:dyDescent="0.3">
      <c r="A9" s="10" t="s">
        <v>22</v>
      </c>
      <c r="B9" s="10" t="s">
        <v>23</v>
      </c>
      <c r="C9" s="10" t="s">
        <v>16</v>
      </c>
      <c r="D9" s="12" t="s">
        <v>13</v>
      </c>
      <c r="E9" s="10">
        <v>20</v>
      </c>
      <c r="F9" s="10">
        <v>35</v>
      </c>
      <c r="G9" s="12">
        <v>9</v>
      </c>
      <c r="H9" s="12">
        <v>18</v>
      </c>
      <c r="I9" s="10">
        <f>SUM(E9:H9)</f>
        <v>82</v>
      </c>
      <c r="J9" s="13">
        <f>SUM(E9:F9)</f>
        <v>55</v>
      </c>
    </row>
    <row r="10" spans="1:10" x14ac:dyDescent="0.3">
      <c r="A10" s="10" t="s">
        <v>24</v>
      </c>
      <c r="B10" s="10" t="s">
        <v>25</v>
      </c>
      <c r="C10" s="10" t="s">
        <v>26</v>
      </c>
      <c r="D10" s="12" t="s">
        <v>13</v>
      </c>
      <c r="E10" s="10">
        <v>28</v>
      </c>
      <c r="F10" s="10">
        <v>38</v>
      </c>
      <c r="G10" s="12">
        <v>8</v>
      </c>
      <c r="H10" s="12">
        <v>17</v>
      </c>
      <c r="I10" s="10">
        <f>SUM(E10:H10)</f>
        <v>91</v>
      </c>
      <c r="J10" s="13">
        <f>SUM(E10:F10)</f>
        <v>66</v>
      </c>
    </row>
    <row r="11" spans="1:10" x14ac:dyDescent="0.3">
      <c r="A11" s="10" t="s">
        <v>27</v>
      </c>
      <c r="B11" s="10" t="s">
        <v>28</v>
      </c>
      <c r="C11" s="10" t="s">
        <v>26</v>
      </c>
      <c r="D11" s="12" t="s">
        <v>19</v>
      </c>
      <c r="E11" s="10">
        <v>30</v>
      </c>
      <c r="F11" s="10">
        <v>37</v>
      </c>
      <c r="G11" s="12">
        <v>8</v>
      </c>
      <c r="H11" s="12">
        <v>18</v>
      </c>
      <c r="I11" s="10">
        <f t="shared" si="0"/>
        <v>93</v>
      </c>
      <c r="J11" s="13">
        <f t="shared" si="1"/>
        <v>67</v>
      </c>
    </row>
    <row r="12" spans="1:10" x14ac:dyDescent="0.3">
      <c r="A12" s="10" t="s">
        <v>29</v>
      </c>
      <c r="B12" s="10" t="s">
        <v>30</v>
      </c>
      <c r="C12" s="10" t="s">
        <v>12</v>
      </c>
      <c r="D12" s="12" t="s">
        <v>13</v>
      </c>
      <c r="E12" s="10">
        <v>25</v>
      </c>
      <c r="F12" s="10">
        <v>28</v>
      </c>
      <c r="G12" s="12">
        <v>5</v>
      </c>
      <c r="H12" s="12">
        <v>15</v>
      </c>
      <c r="I12" s="10">
        <f t="shared" si="0"/>
        <v>73</v>
      </c>
      <c r="J12" s="13">
        <f t="shared" si="1"/>
        <v>53</v>
      </c>
    </row>
    <row r="13" spans="1:10" x14ac:dyDescent="0.3">
      <c r="A13" s="10" t="s">
        <v>31</v>
      </c>
      <c r="B13" s="10" t="s">
        <v>32</v>
      </c>
      <c r="C13" s="10" t="s">
        <v>26</v>
      </c>
      <c r="D13" s="12" t="s">
        <v>13</v>
      </c>
      <c r="E13" s="10">
        <v>30</v>
      </c>
      <c r="F13" s="10">
        <v>33</v>
      </c>
      <c r="G13" s="12">
        <v>5</v>
      </c>
      <c r="H13" s="12">
        <v>20</v>
      </c>
      <c r="I13" s="10">
        <f>SUM(E13:H13)</f>
        <v>88</v>
      </c>
      <c r="J13" s="13">
        <f>SUM(E13:F13)</f>
        <v>63</v>
      </c>
    </row>
    <row r="14" spans="1:10" x14ac:dyDescent="0.3">
      <c r="A14" s="10" t="s">
        <v>33</v>
      </c>
      <c r="B14" s="10" t="s">
        <v>34</v>
      </c>
      <c r="C14" s="10" t="s">
        <v>26</v>
      </c>
      <c r="D14" s="12" t="s">
        <v>19</v>
      </c>
      <c r="E14" s="10">
        <v>26</v>
      </c>
      <c r="F14" s="10">
        <v>32</v>
      </c>
      <c r="G14" s="12">
        <v>10</v>
      </c>
      <c r="H14" s="12">
        <v>18</v>
      </c>
      <c r="I14" s="10">
        <f t="shared" si="0"/>
        <v>86</v>
      </c>
      <c r="J14" s="13">
        <f t="shared" si="1"/>
        <v>58</v>
      </c>
    </row>
    <row r="15" spans="1:10" x14ac:dyDescent="0.3">
      <c r="A15" s="26" t="s">
        <v>35</v>
      </c>
      <c r="B15" s="26"/>
      <c r="C15" s="26"/>
      <c r="D15" s="26"/>
      <c r="E15" s="10">
        <f>AVERAGE(E5:E14)</f>
        <v>26.9</v>
      </c>
      <c r="F15" s="10">
        <f>AVERAGE(F5:F14)</f>
        <v>34.5</v>
      </c>
      <c r="G15" s="10">
        <f>AVERAGE(G5:G14)</f>
        <v>8.1</v>
      </c>
      <c r="H15" s="10">
        <f>AVERAGE(H5:H14)</f>
        <v>17.5</v>
      </c>
      <c r="I15" s="10">
        <f>AVERAGE(I5:I14)</f>
        <v>87</v>
      </c>
      <c r="J15" s="14"/>
    </row>
  </sheetData>
  <mergeCells count="4">
    <mergeCell ref="A1:J1"/>
    <mergeCell ref="E3:I3"/>
    <mergeCell ref="J3:J4"/>
    <mergeCell ref="A15:D15"/>
  </mergeCells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/>
  </sheetViews>
  <sheetFormatPr defaultRowHeight="16.5" x14ac:dyDescent="0.3"/>
  <cols>
    <col min="1" max="16384" width="9" style="2"/>
  </cols>
  <sheetData>
    <row r="1" spans="1:8" ht="17.25" x14ac:dyDescent="0.3">
      <c r="A1" s="1" t="s">
        <v>49</v>
      </c>
      <c r="G1" s="2" t="s">
        <v>75</v>
      </c>
    </row>
    <row r="2" spans="1:8" x14ac:dyDescent="0.3">
      <c r="A2" s="3" t="s">
        <v>50</v>
      </c>
      <c r="B2" s="3" t="s">
        <v>51</v>
      </c>
      <c r="C2" s="3" t="s">
        <v>52</v>
      </c>
      <c r="D2" s="4" t="s">
        <v>53</v>
      </c>
      <c r="E2" s="4" t="s">
        <v>36</v>
      </c>
      <c r="F2" s="4" t="s">
        <v>54</v>
      </c>
      <c r="G2" s="4" t="s">
        <v>55</v>
      </c>
      <c r="H2" s="4" t="s">
        <v>56</v>
      </c>
    </row>
    <row r="3" spans="1:8" x14ac:dyDescent="0.3">
      <c r="A3" s="3">
        <v>3212</v>
      </c>
      <c r="B3" s="3" t="s">
        <v>57</v>
      </c>
      <c r="C3" s="3" t="s">
        <v>37</v>
      </c>
      <c r="D3" s="3" t="s">
        <v>38</v>
      </c>
      <c r="E3" s="5">
        <v>35200</v>
      </c>
      <c r="F3" s="6">
        <v>35000</v>
      </c>
      <c r="G3" s="6">
        <v>36000</v>
      </c>
      <c r="H3" s="6">
        <f>SUM(E3:G3)</f>
        <v>106200</v>
      </c>
    </row>
    <row r="4" spans="1:8" x14ac:dyDescent="0.3">
      <c r="A4" s="3">
        <v>3214</v>
      </c>
      <c r="B4" s="3" t="s">
        <v>58</v>
      </c>
      <c r="C4" s="3" t="s">
        <v>37</v>
      </c>
      <c r="D4" s="3" t="s">
        <v>38</v>
      </c>
      <c r="E4" s="5">
        <v>12500</v>
      </c>
      <c r="F4" s="6">
        <v>21000</v>
      </c>
      <c r="G4" s="6">
        <v>20000</v>
      </c>
      <c r="H4" s="6">
        <f t="shared" ref="H4:H10" si="0">SUM(E4:G4)</f>
        <v>53500</v>
      </c>
    </row>
    <row r="5" spans="1:8" x14ac:dyDescent="0.3">
      <c r="A5" s="3">
        <v>3114</v>
      </c>
      <c r="B5" s="3" t="s">
        <v>39</v>
      </c>
      <c r="C5" s="3" t="s">
        <v>37</v>
      </c>
      <c r="D5" s="3" t="s">
        <v>40</v>
      </c>
      <c r="E5" s="5">
        <v>62500</v>
      </c>
      <c r="F5" s="6">
        <v>65000</v>
      </c>
      <c r="G5" s="6">
        <v>64000</v>
      </c>
      <c r="H5" s="6">
        <f t="shared" si="0"/>
        <v>191500</v>
      </c>
    </row>
    <row r="6" spans="1:8" x14ac:dyDescent="0.3">
      <c r="A6" s="3">
        <v>3412</v>
      </c>
      <c r="B6" s="3" t="s">
        <v>41</v>
      </c>
      <c r="C6" s="3" t="s">
        <v>37</v>
      </c>
      <c r="D6" s="3" t="s">
        <v>42</v>
      </c>
      <c r="E6" s="5">
        <v>62533</v>
      </c>
      <c r="F6" s="6">
        <v>61890</v>
      </c>
      <c r="G6" s="6">
        <v>63000</v>
      </c>
      <c r="H6" s="6">
        <f t="shared" si="0"/>
        <v>187423</v>
      </c>
    </row>
    <row r="7" spans="1:8" x14ac:dyDescent="0.3">
      <c r="A7" s="3">
        <v>3312</v>
      </c>
      <c r="B7" s="3" t="s">
        <v>45</v>
      </c>
      <c r="C7" s="3" t="s">
        <v>37</v>
      </c>
      <c r="D7" s="3" t="s">
        <v>43</v>
      </c>
      <c r="E7" s="5">
        <v>32560</v>
      </c>
      <c r="F7" s="6">
        <v>33000</v>
      </c>
      <c r="G7" s="6">
        <v>32000</v>
      </c>
      <c r="H7" s="6">
        <f t="shared" si="0"/>
        <v>97560</v>
      </c>
    </row>
    <row r="8" spans="1:8" x14ac:dyDescent="0.3">
      <c r="A8" s="3">
        <v>3213</v>
      </c>
      <c r="B8" s="3" t="s">
        <v>46</v>
      </c>
      <c r="C8" s="3" t="s">
        <v>37</v>
      </c>
      <c r="D8" s="3" t="s">
        <v>38</v>
      </c>
      <c r="E8" s="5">
        <v>64250</v>
      </c>
      <c r="F8" s="6">
        <v>56000</v>
      </c>
      <c r="G8" s="6">
        <v>66000</v>
      </c>
      <c r="H8" s="6">
        <f t="shared" si="0"/>
        <v>186250</v>
      </c>
    </row>
    <row r="9" spans="1:8" x14ac:dyDescent="0.3">
      <c r="A9" s="3">
        <v>3413</v>
      </c>
      <c r="B9" s="3" t="s">
        <v>44</v>
      </c>
      <c r="C9" s="3" t="s">
        <v>37</v>
      </c>
      <c r="D9" s="3" t="s">
        <v>42</v>
      </c>
      <c r="E9" s="5">
        <v>45850</v>
      </c>
      <c r="F9" s="6">
        <v>43650</v>
      </c>
      <c r="G9" s="6">
        <v>48000</v>
      </c>
      <c r="H9" s="6">
        <f t="shared" si="0"/>
        <v>137500</v>
      </c>
    </row>
    <row r="10" spans="1:8" x14ac:dyDescent="0.3">
      <c r="A10" s="3">
        <v>3112</v>
      </c>
      <c r="B10" s="3" t="s">
        <v>47</v>
      </c>
      <c r="C10" s="3" t="s">
        <v>37</v>
      </c>
      <c r="D10" s="3" t="s">
        <v>48</v>
      </c>
      <c r="E10" s="5">
        <v>56800</v>
      </c>
      <c r="F10" s="6">
        <v>60000</v>
      </c>
      <c r="G10" s="6">
        <v>60500</v>
      </c>
      <c r="H10" s="6">
        <f t="shared" si="0"/>
        <v>177300</v>
      </c>
    </row>
  </sheetData>
  <phoneticPr fontId="2" type="noConversion"/>
  <pageMargins left="0.75" right="0.75" top="1" bottom="1" header="0.5" footer="0.5"/>
  <pageSetup paperSize="9" orientation="portrait" horizontalDpi="4294967292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>길벗R&amp;D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User</cp:lastModifiedBy>
  <dcterms:created xsi:type="dcterms:W3CDTF">2011-06-14T10:20:28Z</dcterms:created>
  <dcterms:modified xsi:type="dcterms:W3CDTF">2018-12-13T06:20:57Z</dcterms:modified>
</cp:coreProperties>
</file>