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</sheets>
  <definedNames>
    <definedName name="상여지급율">기출02!#REF!</definedName>
    <definedName name="특별상여율">기출02!#REF!</definedName>
    <definedName name="할인율">#REF!</definedName>
  </definedNames>
  <calcPr calcId="125725"/>
</workbook>
</file>

<file path=xl/calcChain.xml><?xml version="1.0" encoding="utf-8"?>
<calcChain xmlns="http://schemas.openxmlformats.org/spreadsheetml/2006/main">
  <c r="G15" i="5"/>
  <c r="G14"/>
  <c r="G13"/>
  <c r="G12"/>
  <c r="G11"/>
  <c r="G10"/>
  <c r="G9"/>
  <c r="G8"/>
  <c r="G7"/>
  <c r="G6"/>
  <c r="G5"/>
  <c r="G4"/>
  <c r="H13" i="4"/>
  <c r="H12"/>
  <c r="H11"/>
  <c r="H10"/>
  <c r="H9"/>
  <c r="H8"/>
  <c r="H7"/>
  <c r="H6"/>
  <c r="H5"/>
  <c r="H4"/>
</calcChain>
</file>

<file path=xl/sharedStrings.xml><?xml version="1.0" encoding="utf-8"?>
<sst xmlns="http://schemas.openxmlformats.org/spreadsheetml/2006/main" count="104" uniqueCount="68">
  <si>
    <t>연수 점수 현황</t>
    <phoneticPr fontId="3" type="noConversion"/>
  </si>
  <si>
    <t>등급</t>
  </si>
  <si>
    <t>성명</t>
  </si>
  <si>
    <t>과정코드</t>
  </si>
  <si>
    <t>근무점수</t>
    <phoneticPr fontId="3" type="noConversion"/>
  </si>
  <si>
    <t>경력점수</t>
  </si>
  <si>
    <t>어학점수</t>
    <phoneticPr fontId="3" type="noConversion"/>
  </si>
  <si>
    <t>총점</t>
  </si>
  <si>
    <t>고급반</t>
  </si>
  <si>
    <t>개나리</t>
    <phoneticPr fontId="3" type="noConversion"/>
  </si>
  <si>
    <t>영어</t>
    <phoneticPr fontId="3" type="noConversion"/>
  </si>
  <si>
    <t>중급반</t>
  </si>
  <si>
    <t>진달래</t>
    <phoneticPr fontId="3" type="noConversion"/>
  </si>
  <si>
    <t>전산</t>
    <phoneticPr fontId="3" type="noConversion"/>
  </si>
  <si>
    <t>기초반</t>
  </si>
  <si>
    <t>철쭉</t>
    <phoneticPr fontId="3" type="noConversion"/>
  </si>
  <si>
    <t>마케팅</t>
    <phoneticPr fontId="3" type="noConversion"/>
  </si>
  <si>
    <t>기초반</t>
    <phoneticPr fontId="3" type="noConversion"/>
  </si>
  <si>
    <t>도라지</t>
    <phoneticPr fontId="3" type="noConversion"/>
  </si>
  <si>
    <t>장미</t>
    <phoneticPr fontId="3" type="noConversion"/>
  </si>
  <si>
    <t>튤립</t>
    <phoneticPr fontId="3" type="noConversion"/>
  </si>
  <si>
    <t>카라</t>
    <phoneticPr fontId="3" type="noConversion"/>
  </si>
  <si>
    <t>백합</t>
    <phoneticPr fontId="3" type="noConversion"/>
  </si>
  <si>
    <t>판  매  현  황</t>
    <phoneticPr fontId="3" type="noConversion"/>
  </si>
  <si>
    <t>판매일자</t>
    <phoneticPr fontId="3" type="noConversion"/>
  </si>
  <si>
    <t>제품코드</t>
    <phoneticPr fontId="3" type="noConversion"/>
  </si>
  <si>
    <t>판매형태</t>
    <phoneticPr fontId="3" type="noConversion"/>
  </si>
  <si>
    <t>단가</t>
    <phoneticPr fontId="3" type="noConversion"/>
  </si>
  <si>
    <t>납품수량</t>
    <phoneticPr fontId="3" type="noConversion"/>
  </si>
  <si>
    <t>반품수량</t>
    <phoneticPr fontId="3" type="noConversion"/>
  </si>
  <si>
    <t>매출액</t>
    <phoneticPr fontId="3" type="noConversion"/>
  </si>
  <si>
    <t>A-134</t>
    <phoneticPr fontId="3" type="noConversion"/>
  </si>
  <si>
    <t>완제품</t>
    <phoneticPr fontId="3" type="noConversion"/>
  </si>
  <si>
    <t>B-312</t>
    <phoneticPr fontId="3" type="noConversion"/>
  </si>
  <si>
    <t>부품</t>
    <phoneticPr fontId="3" type="noConversion"/>
  </si>
  <si>
    <t>2월 급여계산 내역</t>
    <phoneticPr fontId="3" type="noConversion"/>
  </si>
  <si>
    <r>
      <t xml:space="preserve">(단위 </t>
    </r>
    <r>
      <rPr>
        <sz val="11"/>
        <color theme="1"/>
        <rFont val="맑은 고딕"/>
        <family val="3"/>
        <charset val="129"/>
      </rPr>
      <t>: 천원)</t>
    </r>
    <phoneticPr fontId="3" type="noConversion"/>
  </si>
  <si>
    <t>이름</t>
    <phoneticPr fontId="3" type="noConversion"/>
  </si>
  <si>
    <t>부서명</t>
    <phoneticPr fontId="3" type="noConversion"/>
  </si>
  <si>
    <t>직급</t>
    <phoneticPr fontId="3" type="noConversion"/>
  </si>
  <si>
    <t>기본급</t>
    <phoneticPr fontId="3" type="noConversion"/>
  </si>
  <si>
    <t>상여금</t>
    <phoneticPr fontId="3" type="noConversion"/>
  </si>
  <si>
    <t>제세금</t>
    <phoneticPr fontId="3" type="noConversion"/>
  </si>
  <si>
    <t>기타공제</t>
    <phoneticPr fontId="3" type="noConversion"/>
  </si>
  <si>
    <t>실수령액</t>
    <phoneticPr fontId="3" type="noConversion"/>
  </si>
  <si>
    <t>김가네</t>
    <phoneticPr fontId="3" type="noConversion"/>
  </si>
  <si>
    <t>경리과</t>
    <phoneticPr fontId="3" type="noConversion"/>
  </si>
  <si>
    <t>1-1급</t>
    <phoneticPr fontId="3" type="noConversion"/>
  </si>
  <si>
    <t>남이사</t>
    <phoneticPr fontId="3" type="noConversion"/>
  </si>
  <si>
    <t>인사과</t>
    <phoneticPr fontId="3" type="noConversion"/>
  </si>
  <si>
    <t>2-1급</t>
    <phoneticPr fontId="3" type="noConversion"/>
  </si>
  <si>
    <t>이영감</t>
    <phoneticPr fontId="3" type="noConversion"/>
  </si>
  <si>
    <t>2-2급</t>
    <phoneticPr fontId="3" type="noConversion"/>
  </si>
  <si>
    <t>최참봉</t>
    <phoneticPr fontId="3" type="noConversion"/>
  </si>
  <si>
    <t>영업1과</t>
    <phoneticPr fontId="3" type="noConversion"/>
  </si>
  <si>
    <r>
      <t>1-</t>
    </r>
    <r>
      <rPr>
        <sz val="11"/>
        <color theme="1"/>
        <rFont val="맑은 고딕"/>
        <family val="3"/>
        <charset val="129"/>
      </rPr>
      <t>1급</t>
    </r>
    <phoneticPr fontId="3" type="noConversion"/>
  </si>
  <si>
    <t>박달재</t>
    <phoneticPr fontId="3" type="noConversion"/>
  </si>
  <si>
    <r>
      <t>2-</t>
    </r>
    <r>
      <rPr>
        <sz val="11"/>
        <color theme="1"/>
        <rFont val="맑은 고딕"/>
        <family val="3"/>
        <charset val="129"/>
      </rPr>
      <t>2급</t>
    </r>
    <phoneticPr fontId="3" type="noConversion"/>
  </si>
  <si>
    <t>서섭이</t>
    <phoneticPr fontId="3" type="noConversion"/>
  </si>
  <si>
    <t>기획과</t>
    <phoneticPr fontId="3" type="noConversion"/>
  </si>
  <si>
    <t>3-1급</t>
    <phoneticPr fontId="3" type="noConversion"/>
  </si>
  <si>
    <t>장사진</t>
    <phoneticPr fontId="3" type="noConversion"/>
  </si>
  <si>
    <t>3-2급</t>
    <phoneticPr fontId="3" type="noConversion"/>
  </si>
  <si>
    <t>탁자용</t>
    <phoneticPr fontId="3" type="noConversion"/>
  </si>
  <si>
    <t>조갑이</t>
    <phoneticPr fontId="3" type="noConversion"/>
  </si>
  <si>
    <r>
      <t>3-</t>
    </r>
    <r>
      <rPr>
        <sz val="11"/>
        <color theme="1"/>
        <rFont val="맑은 고딕"/>
        <family val="3"/>
        <charset val="129"/>
      </rPr>
      <t>1급</t>
    </r>
    <phoneticPr fontId="3" type="noConversion"/>
  </si>
  <si>
    <t>강두길</t>
    <phoneticPr fontId="3" type="noConversion"/>
  </si>
  <si>
    <r>
      <t>3-</t>
    </r>
    <r>
      <rPr>
        <sz val="11"/>
        <color theme="1"/>
        <rFont val="맑은 고딕"/>
        <family val="3"/>
        <charset val="129"/>
      </rPr>
      <t>2급</t>
    </r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</si>
</sst>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);[Red]\(#,##0\)"/>
  </numFmts>
  <fonts count="8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2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20">
    <xf numFmtId="0" fontId="0" fillId="0" borderId="0" xfId="0">
      <alignment vertical="center"/>
    </xf>
    <xf numFmtId="0" fontId="5" fillId="0" borderId="0" xfId="1" applyFont="1"/>
    <xf numFmtId="0" fontId="5" fillId="0" borderId="2" xfId="1" applyFont="1" applyBorder="1" applyAlignment="1">
      <alignment horizontal="center"/>
    </xf>
    <xf numFmtId="0" fontId="5" fillId="0" borderId="0" xfId="1" applyFont="1" applyAlignment="1">
      <alignment horizontal="center"/>
    </xf>
    <xf numFmtId="0" fontId="5" fillId="0" borderId="2" xfId="1" applyFont="1" applyBorder="1"/>
    <xf numFmtId="0" fontId="5" fillId="0" borderId="0" xfId="1" applyFont="1" applyBorder="1"/>
    <xf numFmtId="41" fontId="7" fillId="0" borderId="2" xfId="2" applyFont="1" applyBorder="1"/>
    <xf numFmtId="0" fontId="5" fillId="0" borderId="0" xfId="1" applyNumberFormat="1" applyFont="1" applyBorder="1" applyAlignment="1">
      <alignment horizontal="center" vertical="top"/>
    </xf>
    <xf numFmtId="0" fontId="5" fillId="0" borderId="0" xfId="1" applyNumberFormat="1" applyFont="1" applyAlignment="1">
      <alignment vertical="top"/>
    </xf>
    <xf numFmtId="0" fontId="5" fillId="0" borderId="2" xfId="1" applyNumberFormat="1" applyFont="1" applyBorder="1" applyAlignment="1">
      <alignment horizontal="center" vertical="center"/>
    </xf>
    <xf numFmtId="0" fontId="5" fillId="0" borderId="2" xfId="1" applyNumberFormat="1" applyFont="1" applyBorder="1" applyAlignment="1">
      <alignment horizontal="center" vertical="top"/>
    </xf>
    <xf numFmtId="0" fontId="5" fillId="0" borderId="2" xfId="1" applyNumberFormat="1" applyFont="1" applyBorder="1" applyAlignment="1">
      <alignment horizontal="center" vertical="center" wrapText="1"/>
    </xf>
    <xf numFmtId="41" fontId="5" fillId="0" borderId="2" xfId="2" applyFont="1" applyBorder="1" applyAlignment="1">
      <alignment vertical="top"/>
    </xf>
    <xf numFmtId="176" fontId="5" fillId="0" borderId="2" xfId="2" applyNumberFormat="1" applyFont="1" applyBorder="1"/>
    <xf numFmtId="0" fontId="4" fillId="0" borderId="0" xfId="1" applyNumberFormat="1" applyFont="1" applyBorder="1" applyAlignment="1">
      <alignment horizontal="center" vertical="top"/>
    </xf>
    <xf numFmtId="0" fontId="5" fillId="0" borderId="1" xfId="1" applyNumberFormat="1" applyFont="1" applyBorder="1" applyAlignment="1">
      <alignment horizontal="right" vertical="top"/>
    </xf>
    <xf numFmtId="0" fontId="6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 applyBorder="1" applyAlignment="1">
      <alignment horizontal="center"/>
    </xf>
    <xf numFmtId="14" fontId="5" fillId="0" borderId="2" xfId="1" applyNumberFormat="1" applyFont="1" applyBorder="1" applyAlignment="1">
      <alignment horizont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13"/>
  <sheetViews>
    <sheetView tabSelected="1" workbookViewId="0">
      <selection sqref="A1:H1"/>
    </sheetView>
  </sheetViews>
  <sheetFormatPr defaultRowHeight="16.5"/>
  <cols>
    <col min="1" max="7" width="9" style="1" customWidth="1"/>
    <col min="8" max="8" width="9" style="1" bestFit="1" customWidth="1"/>
    <col min="9" max="9" width="11.625" style="1" bestFit="1" customWidth="1"/>
    <col min="10" max="16384" width="9" style="1"/>
  </cols>
  <sheetData>
    <row r="1" spans="1:9" ht="20.25">
      <c r="A1" s="14" t="s">
        <v>35</v>
      </c>
      <c r="B1" s="14"/>
      <c r="C1" s="14"/>
      <c r="D1" s="14"/>
      <c r="E1" s="14"/>
      <c r="F1" s="14"/>
      <c r="G1" s="14"/>
      <c r="H1" s="14"/>
      <c r="I1" s="7"/>
    </row>
    <row r="2" spans="1:9">
      <c r="A2" s="8"/>
      <c r="B2" s="8"/>
      <c r="C2" s="8"/>
      <c r="D2" s="8"/>
      <c r="E2" s="8"/>
      <c r="F2" s="8"/>
      <c r="G2" s="15" t="s">
        <v>36</v>
      </c>
      <c r="H2" s="15"/>
      <c r="I2" s="8"/>
    </row>
    <row r="3" spans="1:9">
      <c r="A3" s="9" t="s">
        <v>37</v>
      </c>
      <c r="B3" s="9" t="s">
        <v>38</v>
      </c>
      <c r="C3" s="9" t="s">
        <v>39</v>
      </c>
      <c r="D3" s="10" t="s">
        <v>40</v>
      </c>
      <c r="E3" s="10" t="s">
        <v>41</v>
      </c>
      <c r="F3" s="10" t="s">
        <v>42</v>
      </c>
      <c r="G3" s="10" t="s">
        <v>43</v>
      </c>
      <c r="H3" s="11" t="s">
        <v>44</v>
      </c>
    </row>
    <row r="4" spans="1:9">
      <c r="A4" s="10" t="s">
        <v>45</v>
      </c>
      <c r="B4" s="10" t="s">
        <v>46</v>
      </c>
      <c r="C4" s="10" t="s">
        <v>47</v>
      </c>
      <c r="D4" s="12">
        <v>1800</v>
      </c>
      <c r="E4" s="12">
        <v>1800</v>
      </c>
      <c r="F4" s="12">
        <v>90</v>
      </c>
      <c r="G4" s="12">
        <v>990</v>
      </c>
      <c r="H4" s="13">
        <f>D4+E4-F4-G4</f>
        <v>2520</v>
      </c>
    </row>
    <row r="5" spans="1:9">
      <c r="A5" s="10" t="s">
        <v>48</v>
      </c>
      <c r="B5" s="10" t="s">
        <v>49</v>
      </c>
      <c r="C5" s="10" t="s">
        <v>50</v>
      </c>
      <c r="D5" s="12">
        <v>1750</v>
      </c>
      <c r="E5" s="12">
        <v>1750</v>
      </c>
      <c r="F5" s="12">
        <v>87</v>
      </c>
      <c r="G5" s="12">
        <v>450</v>
      </c>
      <c r="H5" s="13">
        <f t="shared" ref="H5:H13" si="0">D5+E5-F5-G5</f>
        <v>2963</v>
      </c>
    </row>
    <row r="6" spans="1:9">
      <c r="A6" s="10" t="s">
        <v>51</v>
      </c>
      <c r="B6" s="10" t="s">
        <v>46</v>
      </c>
      <c r="C6" s="10" t="s">
        <v>52</v>
      </c>
      <c r="D6" s="12">
        <v>1550</v>
      </c>
      <c r="E6" s="12">
        <v>1550</v>
      </c>
      <c r="F6" s="12">
        <v>77</v>
      </c>
      <c r="G6" s="12">
        <v>250</v>
      </c>
      <c r="H6" s="13">
        <f t="shared" si="0"/>
        <v>2773</v>
      </c>
    </row>
    <row r="7" spans="1:9">
      <c r="A7" s="10" t="s">
        <v>53</v>
      </c>
      <c r="B7" s="10" t="s">
        <v>54</v>
      </c>
      <c r="C7" s="10" t="s">
        <v>55</v>
      </c>
      <c r="D7" s="12">
        <v>1480</v>
      </c>
      <c r="E7" s="12">
        <v>1480</v>
      </c>
      <c r="F7" s="12">
        <v>74</v>
      </c>
      <c r="G7" s="12">
        <v>820</v>
      </c>
      <c r="H7" s="13">
        <f t="shared" si="0"/>
        <v>2066</v>
      </c>
    </row>
    <row r="8" spans="1:9">
      <c r="A8" s="10" t="s">
        <v>56</v>
      </c>
      <c r="B8" s="10" t="s">
        <v>49</v>
      </c>
      <c r="C8" s="10" t="s">
        <v>57</v>
      </c>
      <c r="D8" s="12">
        <v>1400</v>
      </c>
      <c r="E8" s="12">
        <v>1400</v>
      </c>
      <c r="F8" s="12">
        <v>70</v>
      </c>
      <c r="G8" s="12">
        <v>430</v>
      </c>
      <c r="H8" s="13">
        <f t="shared" si="0"/>
        <v>2300</v>
      </c>
    </row>
    <row r="9" spans="1:9">
      <c r="A9" s="10" t="s">
        <v>58</v>
      </c>
      <c r="B9" s="10" t="s">
        <v>59</v>
      </c>
      <c r="C9" s="10" t="s">
        <v>60</v>
      </c>
      <c r="D9" s="12">
        <v>1350</v>
      </c>
      <c r="E9" s="12">
        <v>1350</v>
      </c>
      <c r="F9" s="12">
        <v>67</v>
      </c>
      <c r="G9" s="12">
        <v>310</v>
      </c>
      <c r="H9" s="13">
        <f t="shared" si="0"/>
        <v>2323</v>
      </c>
    </row>
    <row r="10" spans="1:9">
      <c r="A10" s="10" t="s">
        <v>61</v>
      </c>
      <c r="B10" s="10" t="s">
        <v>46</v>
      </c>
      <c r="C10" s="10" t="s">
        <v>62</v>
      </c>
      <c r="D10" s="12">
        <v>1200</v>
      </c>
      <c r="E10" s="12">
        <v>1200</v>
      </c>
      <c r="F10" s="12">
        <v>60</v>
      </c>
      <c r="G10" s="12">
        <v>240</v>
      </c>
      <c r="H10" s="13">
        <f t="shared" si="0"/>
        <v>2100</v>
      </c>
    </row>
    <row r="11" spans="1:9">
      <c r="A11" s="10" t="s">
        <v>63</v>
      </c>
      <c r="B11" s="10" t="s">
        <v>59</v>
      </c>
      <c r="C11" s="10" t="s">
        <v>50</v>
      </c>
      <c r="D11" s="12">
        <v>1050</v>
      </c>
      <c r="E11" s="12">
        <v>1050</v>
      </c>
      <c r="F11" s="12">
        <v>52</v>
      </c>
      <c r="G11" s="12">
        <v>640</v>
      </c>
      <c r="H11" s="13">
        <f t="shared" si="0"/>
        <v>1408</v>
      </c>
    </row>
    <row r="12" spans="1:9">
      <c r="A12" s="10" t="s">
        <v>64</v>
      </c>
      <c r="B12" s="10" t="s">
        <v>54</v>
      </c>
      <c r="C12" s="10" t="s">
        <v>65</v>
      </c>
      <c r="D12" s="12">
        <v>980</v>
      </c>
      <c r="E12" s="12">
        <v>980</v>
      </c>
      <c r="F12" s="12">
        <v>49</v>
      </c>
      <c r="G12" s="12">
        <v>320</v>
      </c>
      <c r="H12" s="13">
        <f t="shared" si="0"/>
        <v>1591</v>
      </c>
    </row>
    <row r="13" spans="1:9">
      <c r="A13" s="10" t="s">
        <v>66</v>
      </c>
      <c r="B13" s="10" t="s">
        <v>49</v>
      </c>
      <c r="C13" s="10" t="s">
        <v>67</v>
      </c>
      <c r="D13" s="12">
        <v>890</v>
      </c>
      <c r="E13" s="12">
        <v>890</v>
      </c>
      <c r="F13" s="12">
        <v>44</v>
      </c>
      <c r="G13" s="12">
        <v>245</v>
      </c>
      <c r="H13" s="13">
        <f t="shared" si="0"/>
        <v>1491</v>
      </c>
    </row>
  </sheetData>
  <mergeCells count="2">
    <mergeCell ref="A1:H1"/>
    <mergeCell ref="G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5"/>
  <sheetViews>
    <sheetView workbookViewId="0">
      <selection sqref="A1:G1"/>
    </sheetView>
  </sheetViews>
  <sheetFormatPr defaultRowHeight="16.5"/>
  <cols>
    <col min="1" max="1" width="11.125" style="1" bestFit="1" customWidth="1"/>
    <col min="2" max="2" width="9" style="1" bestFit="1" customWidth="1"/>
    <col min="3" max="3" width="9.5" style="1" customWidth="1"/>
    <col min="4" max="4" width="9" style="1" customWidth="1"/>
    <col min="5" max="5" width="9.125" style="1" customWidth="1"/>
    <col min="6" max="6" width="9" style="1" bestFit="1" customWidth="1"/>
    <col min="7" max="7" width="9.375" style="1" bestFit="1" customWidth="1"/>
    <col min="8" max="8" width="9.625" style="1" customWidth="1"/>
    <col min="9" max="16384" width="9" style="1"/>
  </cols>
  <sheetData>
    <row r="1" spans="1:7" ht="17.25">
      <c r="A1" s="16" t="s">
        <v>23</v>
      </c>
      <c r="B1" s="16"/>
      <c r="C1" s="16"/>
      <c r="D1" s="16"/>
      <c r="E1" s="16"/>
      <c r="F1" s="16"/>
      <c r="G1" s="16"/>
    </row>
    <row r="3" spans="1:7">
      <c r="A3" s="2" t="s">
        <v>24</v>
      </c>
      <c r="B3" s="2" t="s">
        <v>25</v>
      </c>
      <c r="C3" s="2" t="s">
        <v>26</v>
      </c>
      <c r="D3" s="2" t="s">
        <v>27</v>
      </c>
      <c r="E3" s="2" t="s">
        <v>28</v>
      </c>
      <c r="F3" s="2" t="s">
        <v>29</v>
      </c>
      <c r="G3" s="2" t="s">
        <v>30</v>
      </c>
    </row>
    <row r="4" spans="1:7">
      <c r="A4" s="19">
        <v>41278</v>
      </c>
      <c r="B4" s="2" t="s">
        <v>31</v>
      </c>
      <c r="C4" s="2" t="s">
        <v>32</v>
      </c>
      <c r="D4" s="2">
        <v>350</v>
      </c>
      <c r="E4" s="4">
        <v>170</v>
      </c>
      <c r="F4" s="4">
        <v>5</v>
      </c>
      <c r="G4" s="6">
        <f>(E4-F4)*D4</f>
        <v>57750</v>
      </c>
    </row>
    <row r="5" spans="1:7">
      <c r="A5" s="19">
        <v>41288</v>
      </c>
      <c r="B5" s="2" t="s">
        <v>33</v>
      </c>
      <c r="C5" s="2" t="s">
        <v>34</v>
      </c>
      <c r="D5" s="2">
        <v>580</v>
      </c>
      <c r="E5" s="4">
        <v>278</v>
      </c>
      <c r="F5" s="4">
        <v>4</v>
      </c>
      <c r="G5" s="6">
        <f t="shared" ref="G5:G15" si="0">(E5-F5)*D5</f>
        <v>158920</v>
      </c>
    </row>
    <row r="6" spans="1:7">
      <c r="A6" s="19">
        <v>41299</v>
      </c>
      <c r="B6" s="2" t="s">
        <v>31</v>
      </c>
      <c r="C6" s="2" t="s">
        <v>34</v>
      </c>
      <c r="D6" s="2">
        <v>350</v>
      </c>
      <c r="E6" s="4">
        <v>349</v>
      </c>
      <c r="F6" s="4">
        <v>1</v>
      </c>
      <c r="G6" s="6">
        <f t="shared" si="0"/>
        <v>121800</v>
      </c>
    </row>
    <row r="7" spans="1:7">
      <c r="A7" s="19">
        <v>41304</v>
      </c>
      <c r="B7" s="2" t="s">
        <v>33</v>
      </c>
      <c r="C7" s="2" t="s">
        <v>32</v>
      </c>
      <c r="D7" s="2">
        <v>580</v>
      </c>
      <c r="E7" s="4">
        <v>321</v>
      </c>
      <c r="F7" s="4">
        <v>7</v>
      </c>
      <c r="G7" s="6">
        <f t="shared" si="0"/>
        <v>182120</v>
      </c>
    </row>
    <row r="8" spans="1:7">
      <c r="A8" s="19">
        <v>41310</v>
      </c>
      <c r="B8" s="2" t="s">
        <v>31</v>
      </c>
      <c r="C8" s="2" t="s">
        <v>32</v>
      </c>
      <c r="D8" s="2">
        <v>350</v>
      </c>
      <c r="E8" s="4">
        <v>546</v>
      </c>
      <c r="F8" s="4">
        <v>8</v>
      </c>
      <c r="G8" s="6">
        <f t="shared" si="0"/>
        <v>188300</v>
      </c>
    </row>
    <row r="9" spans="1:7">
      <c r="A9" s="19">
        <v>41320</v>
      </c>
      <c r="B9" s="2" t="s">
        <v>31</v>
      </c>
      <c r="C9" s="2" t="s">
        <v>34</v>
      </c>
      <c r="D9" s="2">
        <v>350</v>
      </c>
      <c r="E9" s="4">
        <v>246</v>
      </c>
      <c r="F9" s="4">
        <v>2</v>
      </c>
      <c r="G9" s="6">
        <f t="shared" si="0"/>
        <v>85400</v>
      </c>
    </row>
    <row r="10" spans="1:7">
      <c r="A10" s="19">
        <v>41323</v>
      </c>
      <c r="B10" s="2" t="s">
        <v>33</v>
      </c>
      <c r="C10" s="2" t="s">
        <v>34</v>
      </c>
      <c r="D10" s="2">
        <v>580</v>
      </c>
      <c r="E10" s="4">
        <v>531</v>
      </c>
      <c r="F10" s="4">
        <v>5</v>
      </c>
      <c r="G10" s="6">
        <f t="shared" si="0"/>
        <v>305080</v>
      </c>
    </row>
    <row r="11" spans="1:7">
      <c r="A11" s="19">
        <v>41328</v>
      </c>
      <c r="B11" s="2" t="s">
        <v>31</v>
      </c>
      <c r="C11" s="2" t="s">
        <v>34</v>
      </c>
      <c r="D11" s="2">
        <v>350</v>
      </c>
      <c r="E11" s="4">
        <v>521</v>
      </c>
      <c r="F11" s="4">
        <v>3</v>
      </c>
      <c r="G11" s="6">
        <f t="shared" si="0"/>
        <v>181300</v>
      </c>
    </row>
    <row r="12" spans="1:7">
      <c r="A12" s="19">
        <v>41335</v>
      </c>
      <c r="B12" s="2" t="s">
        <v>31</v>
      </c>
      <c r="C12" s="2" t="s">
        <v>32</v>
      </c>
      <c r="D12" s="2">
        <v>350</v>
      </c>
      <c r="E12" s="4">
        <v>321</v>
      </c>
      <c r="F12" s="4">
        <v>7</v>
      </c>
      <c r="G12" s="6">
        <f t="shared" si="0"/>
        <v>109900</v>
      </c>
    </row>
    <row r="13" spans="1:7">
      <c r="A13" s="19">
        <v>41344</v>
      </c>
      <c r="B13" s="2" t="s">
        <v>33</v>
      </c>
      <c r="C13" s="2" t="s">
        <v>32</v>
      </c>
      <c r="D13" s="2">
        <v>580</v>
      </c>
      <c r="E13" s="4">
        <v>279</v>
      </c>
      <c r="F13" s="4">
        <v>5</v>
      </c>
      <c r="G13" s="6">
        <f t="shared" si="0"/>
        <v>158920</v>
      </c>
    </row>
    <row r="14" spans="1:7">
      <c r="A14" s="19">
        <v>41346</v>
      </c>
      <c r="B14" s="2" t="s">
        <v>31</v>
      </c>
      <c r="C14" s="2" t="s">
        <v>32</v>
      </c>
      <c r="D14" s="2">
        <v>580</v>
      </c>
      <c r="E14" s="4">
        <v>391</v>
      </c>
      <c r="F14" s="4">
        <v>3</v>
      </c>
      <c r="G14" s="6">
        <f t="shared" si="0"/>
        <v>225040</v>
      </c>
    </row>
    <row r="15" spans="1:7">
      <c r="A15" s="19">
        <v>41356</v>
      </c>
      <c r="B15" s="2" t="s">
        <v>33</v>
      </c>
      <c r="C15" s="2" t="s">
        <v>34</v>
      </c>
      <c r="D15" s="2">
        <v>580</v>
      </c>
      <c r="E15" s="4">
        <v>372</v>
      </c>
      <c r="F15" s="4">
        <v>2</v>
      </c>
      <c r="G15" s="6">
        <f t="shared" si="0"/>
        <v>214600</v>
      </c>
    </row>
  </sheetData>
  <mergeCells count="1">
    <mergeCell ref="A1:G1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G11"/>
  <sheetViews>
    <sheetView workbookViewId="0">
      <selection sqref="A1:G1"/>
    </sheetView>
  </sheetViews>
  <sheetFormatPr defaultRowHeight="16.5"/>
  <cols>
    <col min="1" max="7" width="9" style="1" customWidth="1"/>
    <col min="8" max="16384" width="9" style="1"/>
  </cols>
  <sheetData>
    <row r="1" spans="1:7" ht="20.25">
      <c r="A1" s="17" t="s">
        <v>0</v>
      </c>
      <c r="B1" s="17"/>
      <c r="C1" s="17"/>
      <c r="D1" s="17"/>
      <c r="E1" s="17"/>
      <c r="F1" s="17"/>
      <c r="G1" s="17"/>
    </row>
    <row r="2" spans="1:7" s="3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</row>
    <row r="3" spans="1:7">
      <c r="A3" s="2" t="s">
        <v>8</v>
      </c>
      <c r="B3" s="2" t="s">
        <v>9</v>
      </c>
      <c r="C3" s="2" t="s">
        <v>10</v>
      </c>
      <c r="D3" s="4">
        <v>20</v>
      </c>
      <c r="E3" s="4">
        <v>7</v>
      </c>
      <c r="F3" s="4">
        <v>70</v>
      </c>
      <c r="G3" s="4">
        <v>84.7</v>
      </c>
    </row>
    <row r="4" spans="1:7">
      <c r="A4" s="2" t="s">
        <v>11</v>
      </c>
      <c r="B4" s="2" t="s">
        <v>12</v>
      </c>
      <c r="C4" s="2" t="s">
        <v>13</v>
      </c>
      <c r="D4" s="4">
        <v>4</v>
      </c>
      <c r="E4" s="4">
        <v>1</v>
      </c>
      <c r="F4" s="4">
        <v>80</v>
      </c>
      <c r="G4" s="4">
        <v>86.9</v>
      </c>
    </row>
    <row r="5" spans="1:7">
      <c r="A5" s="2" t="s">
        <v>14</v>
      </c>
      <c r="B5" s="2" t="s">
        <v>15</v>
      </c>
      <c r="C5" s="2" t="s">
        <v>16</v>
      </c>
      <c r="D5" s="4">
        <v>2</v>
      </c>
      <c r="E5" s="4">
        <v>1</v>
      </c>
      <c r="F5" s="4">
        <v>75</v>
      </c>
      <c r="G5" s="4">
        <v>77</v>
      </c>
    </row>
    <row r="6" spans="1:7">
      <c r="A6" s="2" t="s">
        <v>17</v>
      </c>
      <c r="B6" s="2" t="s">
        <v>18</v>
      </c>
      <c r="C6" s="2" t="s">
        <v>10</v>
      </c>
      <c r="D6" s="4">
        <v>10</v>
      </c>
      <c r="E6" s="4">
        <v>5</v>
      </c>
      <c r="F6" s="4">
        <v>74</v>
      </c>
      <c r="G6" s="4">
        <v>86.9</v>
      </c>
    </row>
    <row r="7" spans="1:7">
      <c r="A7" s="2" t="s">
        <v>11</v>
      </c>
      <c r="B7" s="2" t="s">
        <v>19</v>
      </c>
      <c r="C7" s="2" t="s">
        <v>13</v>
      </c>
      <c r="D7" s="4">
        <v>23</v>
      </c>
      <c r="E7" s="4">
        <v>7</v>
      </c>
      <c r="F7" s="4">
        <v>60</v>
      </c>
      <c r="G7" s="4">
        <v>69.3</v>
      </c>
    </row>
    <row r="8" spans="1:7">
      <c r="A8" s="2" t="s">
        <v>14</v>
      </c>
      <c r="B8" s="2" t="s">
        <v>20</v>
      </c>
      <c r="C8" s="2" t="s">
        <v>13</v>
      </c>
      <c r="D8" s="4">
        <v>35</v>
      </c>
      <c r="E8" s="4">
        <v>7</v>
      </c>
      <c r="F8" s="4">
        <v>59</v>
      </c>
      <c r="G8" s="4">
        <v>72.599999999999994</v>
      </c>
    </row>
    <row r="9" spans="1:7">
      <c r="A9" s="2" t="s">
        <v>8</v>
      </c>
      <c r="B9" s="2" t="s">
        <v>21</v>
      </c>
      <c r="C9" s="2" t="s">
        <v>16</v>
      </c>
      <c r="D9" s="4">
        <v>8</v>
      </c>
      <c r="E9" s="4">
        <v>3</v>
      </c>
      <c r="F9" s="4">
        <v>64</v>
      </c>
      <c r="G9" s="4">
        <v>73.7</v>
      </c>
    </row>
    <row r="10" spans="1:7">
      <c r="A10" s="2" t="s">
        <v>11</v>
      </c>
      <c r="B10" s="2" t="s">
        <v>22</v>
      </c>
      <c r="C10" s="2" t="s">
        <v>10</v>
      </c>
      <c r="D10" s="4">
        <v>9</v>
      </c>
      <c r="E10" s="4">
        <v>3</v>
      </c>
      <c r="F10" s="4">
        <v>78</v>
      </c>
      <c r="G10" s="4">
        <v>86.9</v>
      </c>
    </row>
    <row r="11" spans="1:7" s="5" customFormat="1">
      <c r="A11" s="18"/>
      <c r="B11" s="18"/>
      <c r="C11" s="18"/>
    </row>
  </sheetData>
  <mergeCells count="2">
    <mergeCell ref="A1:G1"/>
    <mergeCell ref="A11:C11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쫑</cp:lastModifiedBy>
  <dcterms:created xsi:type="dcterms:W3CDTF">2011-06-14T09:26:12Z</dcterms:created>
  <dcterms:modified xsi:type="dcterms:W3CDTF">2013-09-10T08:30:36Z</dcterms:modified>
</cp:coreProperties>
</file>