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60" windowWidth="18195" windowHeight="11820"/>
  </bookViews>
  <sheets>
    <sheet name="무작정따라하기" sheetId="4" r:id="rId1"/>
    <sheet name="기출01" sheetId="5" r:id="rId2"/>
    <sheet name="기출02" sheetId="6" r:id="rId3"/>
  </sheets>
  <calcPr calcId="125725"/>
</workbook>
</file>

<file path=xl/calcChain.xml><?xml version="1.0" encoding="utf-8"?>
<calcChain xmlns="http://schemas.openxmlformats.org/spreadsheetml/2006/main">
  <c r="E13" i="6"/>
  <c r="F13" s="1"/>
  <c r="E12"/>
  <c r="F12" s="1"/>
  <c r="E11"/>
  <c r="F11" s="1"/>
  <c r="E10"/>
  <c r="F10" s="1"/>
  <c r="E9"/>
  <c r="F9" s="1"/>
  <c r="E8"/>
  <c r="F8" s="1"/>
  <c r="F7"/>
  <c r="G7" s="1"/>
  <c r="E7"/>
  <c r="F6"/>
  <c r="G6" s="1"/>
  <c r="E6"/>
  <c r="F5"/>
  <c r="G5" s="1"/>
  <c r="E5"/>
  <c r="F4"/>
  <c r="G4" s="1"/>
  <c r="E4"/>
  <c r="F3"/>
  <c r="G3" s="1"/>
  <c r="E3"/>
  <c r="G9" l="1"/>
  <c r="H9" s="1"/>
  <c r="G11"/>
  <c r="H11" s="1"/>
  <c r="G13"/>
  <c r="H13" s="1"/>
  <c r="G8"/>
  <c r="H8" s="1"/>
  <c r="G10"/>
  <c r="H10" s="1"/>
  <c r="G12"/>
  <c r="H12" s="1"/>
  <c r="H3"/>
  <c r="H4"/>
  <c r="H5"/>
  <c r="H6"/>
  <c r="H7"/>
</calcChain>
</file>

<file path=xl/sharedStrings.xml><?xml version="1.0" encoding="utf-8"?>
<sst xmlns="http://schemas.openxmlformats.org/spreadsheetml/2006/main" count="140" uniqueCount="54">
  <si>
    <t>한의원의 이용실태</t>
  </si>
  <si>
    <t>배달시간(분)</t>
  </si>
  <si>
    <t>급여 분석 현황</t>
    <phoneticPr fontId="3" type="noConversion"/>
  </si>
  <si>
    <t>사원번호</t>
    <phoneticPr fontId="3" type="noConversion"/>
  </si>
  <si>
    <t>성명</t>
    <phoneticPr fontId="3" type="noConversion"/>
  </si>
  <si>
    <t>직위</t>
    <phoneticPr fontId="3" type="noConversion"/>
  </si>
  <si>
    <t>기본급</t>
    <phoneticPr fontId="3" type="noConversion"/>
  </si>
  <si>
    <t>상여금</t>
    <phoneticPr fontId="3" type="noConversion"/>
  </si>
  <si>
    <t>급여계</t>
    <phoneticPr fontId="3" type="noConversion"/>
  </si>
  <si>
    <t>공제계</t>
    <phoneticPr fontId="3" type="noConversion"/>
  </si>
  <si>
    <t>실수령액</t>
    <phoneticPr fontId="3" type="noConversion"/>
  </si>
  <si>
    <t>차진수</t>
    <phoneticPr fontId="3" type="noConversion"/>
  </si>
  <si>
    <t>과장</t>
    <phoneticPr fontId="3" type="noConversion"/>
  </si>
  <si>
    <t>마시리</t>
    <phoneticPr fontId="3" type="noConversion"/>
  </si>
  <si>
    <t>사원</t>
    <phoneticPr fontId="3" type="noConversion"/>
  </si>
  <si>
    <t>하수진</t>
    <phoneticPr fontId="3" type="noConversion"/>
  </si>
  <si>
    <t>오현명</t>
    <phoneticPr fontId="3" type="noConversion"/>
  </si>
  <si>
    <t>부장</t>
    <phoneticPr fontId="3" type="noConversion"/>
  </si>
  <si>
    <t>백지경</t>
    <phoneticPr fontId="3" type="noConversion"/>
  </si>
  <si>
    <t>정형수</t>
    <phoneticPr fontId="3" type="noConversion"/>
  </si>
  <si>
    <t>대리</t>
    <phoneticPr fontId="3" type="noConversion"/>
  </si>
  <si>
    <t>유현인</t>
    <phoneticPr fontId="3" type="noConversion"/>
  </si>
  <si>
    <t>이지형</t>
    <phoneticPr fontId="3" type="noConversion"/>
  </si>
  <si>
    <t>나진의</t>
    <phoneticPr fontId="3" type="noConversion"/>
  </si>
  <si>
    <t>진인진</t>
    <phoneticPr fontId="3" type="noConversion"/>
  </si>
  <si>
    <t>피현정</t>
    <phoneticPr fontId="3" type="noConversion"/>
  </si>
  <si>
    <t>배달일지</t>
    <phoneticPr fontId="3" type="noConversion"/>
  </si>
  <si>
    <t>일자</t>
    <phoneticPr fontId="3" type="noConversion"/>
  </si>
  <si>
    <t>배달담당</t>
    <phoneticPr fontId="3" type="noConversion"/>
  </si>
  <si>
    <t>배달지역</t>
    <phoneticPr fontId="3" type="noConversion"/>
  </si>
  <si>
    <t>배달량</t>
    <phoneticPr fontId="3" type="noConversion"/>
  </si>
  <si>
    <t>비고</t>
    <phoneticPr fontId="3" type="noConversion"/>
  </si>
  <si>
    <t>도부영</t>
    <phoneticPr fontId="3" type="noConversion"/>
  </si>
  <si>
    <t>산북지구</t>
    <phoneticPr fontId="3" type="noConversion"/>
  </si>
  <si>
    <t>배무현</t>
    <phoneticPr fontId="3" type="noConversion"/>
  </si>
  <si>
    <t>산서지구</t>
    <phoneticPr fontId="3" type="noConversion"/>
  </si>
  <si>
    <t>장동욱</t>
    <phoneticPr fontId="3" type="noConversion"/>
  </si>
  <si>
    <t>산동지구</t>
    <phoneticPr fontId="3" type="noConversion"/>
  </si>
  <si>
    <t>배달누락</t>
    <phoneticPr fontId="3" type="noConversion"/>
  </si>
  <si>
    <t>산남지구</t>
    <phoneticPr fontId="3" type="noConversion"/>
  </si>
  <si>
    <t>진료시간대</t>
    <phoneticPr fontId="3" type="noConversion"/>
  </si>
  <si>
    <t>진료과목</t>
    <phoneticPr fontId="3" type="noConversion"/>
  </si>
  <si>
    <t>거주지역</t>
    <phoneticPr fontId="3" type="noConversion"/>
  </si>
  <si>
    <t>성별</t>
    <phoneticPr fontId="3" type="noConversion"/>
  </si>
  <si>
    <t>인원</t>
    <phoneticPr fontId="3" type="noConversion"/>
  </si>
  <si>
    <t>연령대</t>
    <phoneticPr fontId="3" type="noConversion"/>
  </si>
  <si>
    <t>내과</t>
    <phoneticPr fontId="3" type="noConversion"/>
  </si>
  <si>
    <t>라인</t>
    <phoneticPr fontId="3" type="noConversion"/>
  </si>
  <si>
    <t>남</t>
    <phoneticPr fontId="3" type="noConversion"/>
  </si>
  <si>
    <t>침구과</t>
    <phoneticPr fontId="3" type="noConversion"/>
  </si>
  <si>
    <t>여</t>
    <phoneticPr fontId="3" type="noConversion"/>
  </si>
  <si>
    <t>금호</t>
    <phoneticPr fontId="3" type="noConversion"/>
  </si>
  <si>
    <t>현대</t>
    <phoneticPr fontId="3" type="noConversion"/>
  </si>
  <si>
    <t>부인과</t>
    <phoneticPr fontId="3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</si>
</sst>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0_);[Red]\(0\)"/>
  </numFmts>
  <fonts count="7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4"/>
      <name val="맑은 고딕"/>
      <family val="3"/>
      <charset val="129"/>
    </font>
    <font>
      <sz val="11"/>
      <name val="맑은 고딕"/>
      <family val="3"/>
      <charset val="129"/>
    </font>
    <font>
      <sz val="14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</cellStyleXfs>
  <cellXfs count="16">
    <xf numFmtId="0" fontId="0" fillId="0" borderId="0" xfId="0">
      <alignment vertical="center"/>
    </xf>
    <xf numFmtId="0" fontId="5" fillId="0" borderId="0" xfId="1" applyFont="1"/>
    <xf numFmtId="0" fontId="5" fillId="0" borderId="2" xfId="1" applyFont="1" applyBorder="1"/>
    <xf numFmtId="0" fontId="5" fillId="0" borderId="2" xfId="1" applyFont="1" applyBorder="1" applyAlignment="1">
      <alignment horizontal="center"/>
    </xf>
    <xf numFmtId="3" fontId="5" fillId="0" borderId="2" xfId="1" applyNumberFormat="1" applyFont="1" applyBorder="1" applyAlignment="1">
      <alignment horizontal="center"/>
    </xf>
    <xf numFmtId="3" fontId="5" fillId="0" borderId="2" xfId="1" applyNumberFormat="1" applyFont="1" applyBorder="1"/>
    <xf numFmtId="41" fontId="5" fillId="0" borderId="2" xfId="2" applyFont="1" applyBorder="1"/>
    <xf numFmtId="14" fontId="5" fillId="0" borderId="0" xfId="1" applyNumberFormat="1" applyFont="1"/>
    <xf numFmtId="0" fontId="5" fillId="0" borderId="0" xfId="1" applyFont="1" applyAlignment="1">
      <alignment horizontal="center"/>
    </xf>
    <xf numFmtId="0" fontId="5" fillId="2" borderId="2" xfId="1" applyFont="1" applyFill="1" applyBorder="1" applyAlignment="1">
      <alignment horizontal="center"/>
    </xf>
    <xf numFmtId="20" fontId="5" fillId="0" borderId="2" xfId="1" applyNumberFormat="1" applyFont="1" applyBorder="1" applyAlignment="1">
      <alignment horizontal="center"/>
    </xf>
    <xf numFmtId="0" fontId="5" fillId="0" borderId="2" xfId="1" applyFont="1" applyFill="1" applyBorder="1" applyAlignment="1">
      <alignment horizontal="center"/>
    </xf>
    <xf numFmtId="176" fontId="5" fillId="0" borderId="2" xfId="1" applyNumberFormat="1" applyFont="1" applyFill="1" applyBorder="1" applyAlignment="1">
      <alignment horizontal="center"/>
    </xf>
    <xf numFmtId="176" fontId="5" fillId="0" borderId="2" xfId="1" applyNumberFormat="1" applyFont="1" applyBorder="1" applyAlignment="1">
      <alignment horizontal="center"/>
    </xf>
    <xf numFmtId="0" fontId="6" fillId="0" borderId="1" xfId="1" applyFont="1" applyBorder="1" applyAlignment="1">
      <alignment horizontal="center"/>
    </xf>
    <xf numFmtId="0" fontId="4" fillId="0" borderId="1" xfId="1" applyFont="1" applyBorder="1" applyAlignment="1">
      <alignment horizont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22"/>
  <sheetViews>
    <sheetView tabSelected="1" workbookViewId="0">
      <selection sqref="A1:F1"/>
    </sheetView>
  </sheetViews>
  <sheetFormatPr defaultRowHeight="16.5"/>
  <cols>
    <col min="1" max="1" width="11" style="8" bestFit="1" customWidth="1"/>
    <col min="2" max="3" width="9" style="1" bestFit="1" customWidth="1"/>
    <col min="4" max="6" width="9" style="1" customWidth="1"/>
    <col min="7" max="16384" width="9" style="1"/>
  </cols>
  <sheetData>
    <row r="1" spans="1:6" ht="20.25">
      <c r="A1" s="14" t="s">
        <v>0</v>
      </c>
      <c r="B1" s="14"/>
      <c r="C1" s="14"/>
      <c r="D1" s="14"/>
      <c r="E1" s="14"/>
      <c r="F1" s="14"/>
    </row>
    <row r="2" spans="1:6">
      <c r="A2" s="9" t="s">
        <v>40</v>
      </c>
      <c r="B2" s="9" t="s">
        <v>41</v>
      </c>
      <c r="C2" s="9" t="s">
        <v>42</v>
      </c>
      <c r="D2" s="9" t="s">
        <v>43</v>
      </c>
      <c r="E2" s="9" t="s">
        <v>44</v>
      </c>
      <c r="F2" s="9" t="s">
        <v>45</v>
      </c>
    </row>
    <row r="3" spans="1:6">
      <c r="A3" s="10">
        <v>0.41666666666666669</v>
      </c>
      <c r="B3" s="3" t="s">
        <v>46</v>
      </c>
      <c r="C3" s="3" t="s">
        <v>47</v>
      </c>
      <c r="D3" s="11" t="s">
        <v>48</v>
      </c>
      <c r="E3" s="11">
        <v>2</v>
      </c>
      <c r="F3" s="12">
        <v>60</v>
      </c>
    </row>
    <row r="4" spans="1:6">
      <c r="A4" s="10">
        <v>0.41666666666666669</v>
      </c>
      <c r="B4" s="3" t="s">
        <v>49</v>
      </c>
      <c r="C4" s="3" t="s">
        <v>47</v>
      </c>
      <c r="D4" s="3" t="s">
        <v>50</v>
      </c>
      <c r="E4" s="3">
        <v>5</v>
      </c>
      <c r="F4" s="13">
        <v>50</v>
      </c>
    </row>
    <row r="5" spans="1:6">
      <c r="A5" s="10">
        <v>0.45833333333333298</v>
      </c>
      <c r="B5" s="3" t="s">
        <v>46</v>
      </c>
      <c r="C5" s="3" t="s">
        <v>51</v>
      </c>
      <c r="D5" s="3" t="s">
        <v>50</v>
      </c>
      <c r="E5" s="3">
        <v>3</v>
      </c>
      <c r="F5" s="13">
        <v>40</v>
      </c>
    </row>
    <row r="6" spans="1:6">
      <c r="A6" s="10">
        <v>0.45833333333333298</v>
      </c>
      <c r="B6" s="3" t="s">
        <v>46</v>
      </c>
      <c r="C6" s="3" t="s">
        <v>52</v>
      </c>
      <c r="D6" s="11" t="s">
        <v>48</v>
      </c>
      <c r="E6" s="11">
        <v>7</v>
      </c>
      <c r="F6" s="12">
        <v>60</v>
      </c>
    </row>
    <row r="7" spans="1:6">
      <c r="A7" s="10">
        <v>0.45833333333333298</v>
      </c>
      <c r="B7" s="3" t="s">
        <v>46</v>
      </c>
      <c r="C7" s="3" t="s">
        <v>47</v>
      </c>
      <c r="D7" s="3" t="s">
        <v>48</v>
      </c>
      <c r="E7" s="3">
        <v>1</v>
      </c>
      <c r="F7" s="13">
        <v>60</v>
      </c>
    </row>
    <row r="8" spans="1:6">
      <c r="A8" s="10">
        <v>0.45833333333333298</v>
      </c>
      <c r="B8" s="3" t="s">
        <v>49</v>
      </c>
      <c r="C8" s="3" t="s">
        <v>51</v>
      </c>
      <c r="D8" s="3" t="s">
        <v>48</v>
      </c>
      <c r="E8" s="3">
        <v>4</v>
      </c>
      <c r="F8" s="13">
        <v>50</v>
      </c>
    </row>
    <row r="9" spans="1:6">
      <c r="A9" s="10">
        <v>0.54166666666666696</v>
      </c>
      <c r="B9" s="3" t="s">
        <v>53</v>
      </c>
      <c r="C9" s="3" t="s">
        <v>51</v>
      </c>
      <c r="D9" s="3" t="s">
        <v>50</v>
      </c>
      <c r="E9" s="3">
        <v>8</v>
      </c>
      <c r="F9" s="13">
        <v>60</v>
      </c>
    </row>
    <row r="10" spans="1:6">
      <c r="A10" s="10">
        <v>0.58333333333333304</v>
      </c>
      <c r="B10" s="3" t="s">
        <v>53</v>
      </c>
      <c r="C10" s="3" t="s">
        <v>52</v>
      </c>
      <c r="D10" s="3" t="s">
        <v>50</v>
      </c>
      <c r="E10" s="3">
        <v>10</v>
      </c>
      <c r="F10" s="13">
        <v>50</v>
      </c>
    </row>
    <row r="11" spans="1:6">
      <c r="A11" s="10">
        <v>0.58333333333333304</v>
      </c>
      <c r="B11" s="3" t="s">
        <v>53</v>
      </c>
      <c r="C11" s="3" t="s">
        <v>52</v>
      </c>
      <c r="D11" s="3" t="s">
        <v>50</v>
      </c>
      <c r="E11" s="3">
        <v>5</v>
      </c>
      <c r="F11" s="13">
        <v>60</v>
      </c>
    </row>
    <row r="12" spans="1:6">
      <c r="A12" s="10">
        <v>0.58333333333333304</v>
      </c>
      <c r="B12" s="3" t="s">
        <v>49</v>
      </c>
      <c r="C12" s="3" t="s">
        <v>51</v>
      </c>
      <c r="D12" s="3" t="s">
        <v>48</v>
      </c>
      <c r="E12" s="3">
        <v>6</v>
      </c>
      <c r="F12" s="13">
        <v>50</v>
      </c>
    </row>
    <row r="13" spans="1:6">
      <c r="A13" s="10">
        <v>0.625</v>
      </c>
      <c r="B13" s="3" t="s">
        <v>46</v>
      </c>
      <c r="C13" s="3" t="s">
        <v>52</v>
      </c>
      <c r="D13" s="3" t="s">
        <v>50</v>
      </c>
      <c r="E13" s="3">
        <v>3</v>
      </c>
      <c r="F13" s="13">
        <v>60</v>
      </c>
    </row>
    <row r="14" spans="1:6">
      <c r="A14" s="10">
        <v>0.625</v>
      </c>
      <c r="B14" s="3" t="s">
        <v>46</v>
      </c>
      <c r="C14" s="3" t="s">
        <v>47</v>
      </c>
      <c r="D14" s="3" t="s">
        <v>50</v>
      </c>
      <c r="E14" s="3">
        <v>8</v>
      </c>
      <c r="F14" s="13">
        <v>50</v>
      </c>
    </row>
    <row r="15" spans="1:6">
      <c r="A15" s="10">
        <v>0.625</v>
      </c>
      <c r="B15" s="3" t="s">
        <v>53</v>
      </c>
      <c r="C15" s="3" t="s">
        <v>52</v>
      </c>
      <c r="D15" s="3" t="s">
        <v>50</v>
      </c>
      <c r="E15" s="3">
        <v>2</v>
      </c>
      <c r="F15" s="13">
        <v>60</v>
      </c>
    </row>
    <row r="16" spans="1:6">
      <c r="A16" s="10">
        <v>0.66666666666666696</v>
      </c>
      <c r="B16" s="3" t="s">
        <v>46</v>
      </c>
      <c r="C16" s="3" t="s">
        <v>47</v>
      </c>
      <c r="D16" s="3" t="s">
        <v>50</v>
      </c>
      <c r="E16" s="3">
        <v>4</v>
      </c>
      <c r="F16" s="13">
        <v>40</v>
      </c>
    </row>
    <row r="17" spans="1:6">
      <c r="A17" s="10">
        <v>0.66666666666666696</v>
      </c>
      <c r="B17" s="3" t="s">
        <v>49</v>
      </c>
      <c r="C17" s="3" t="s">
        <v>47</v>
      </c>
      <c r="D17" s="3" t="s">
        <v>48</v>
      </c>
      <c r="E17" s="3">
        <v>5</v>
      </c>
      <c r="F17" s="13">
        <v>40</v>
      </c>
    </row>
    <row r="18" spans="1:6">
      <c r="A18" s="10">
        <v>0.70833333333333304</v>
      </c>
      <c r="B18" s="3" t="s">
        <v>46</v>
      </c>
      <c r="C18" s="3" t="s">
        <v>51</v>
      </c>
      <c r="D18" s="3" t="s">
        <v>50</v>
      </c>
      <c r="E18" s="3">
        <v>9</v>
      </c>
      <c r="F18" s="13">
        <v>50</v>
      </c>
    </row>
    <row r="19" spans="1:6">
      <c r="A19" s="10">
        <v>0.70833333333333304</v>
      </c>
      <c r="B19" s="3" t="s">
        <v>49</v>
      </c>
      <c r="C19" s="3" t="s">
        <v>51</v>
      </c>
      <c r="D19" s="3" t="s">
        <v>50</v>
      </c>
      <c r="E19" s="3">
        <v>1</v>
      </c>
      <c r="F19" s="13">
        <v>40</v>
      </c>
    </row>
    <row r="20" spans="1:6">
      <c r="A20" s="10">
        <v>0.75</v>
      </c>
      <c r="B20" s="3" t="s">
        <v>46</v>
      </c>
      <c r="C20" s="3" t="s">
        <v>51</v>
      </c>
      <c r="D20" s="3" t="s">
        <v>48</v>
      </c>
      <c r="E20" s="3">
        <v>5</v>
      </c>
      <c r="F20" s="13">
        <v>60</v>
      </c>
    </row>
    <row r="21" spans="1:6">
      <c r="A21" s="10">
        <v>0.75</v>
      </c>
      <c r="B21" s="3" t="s">
        <v>53</v>
      </c>
      <c r="C21" s="3" t="s">
        <v>52</v>
      </c>
      <c r="D21" s="3" t="s">
        <v>50</v>
      </c>
      <c r="E21" s="3">
        <v>8</v>
      </c>
      <c r="F21" s="13">
        <v>40</v>
      </c>
    </row>
    <row r="22" spans="1:6">
      <c r="A22" s="10">
        <v>0.75</v>
      </c>
      <c r="B22" s="3" t="s">
        <v>49</v>
      </c>
      <c r="C22" s="3" t="s">
        <v>52</v>
      </c>
      <c r="D22" s="3" t="s">
        <v>50</v>
      </c>
      <c r="E22" s="3">
        <v>10</v>
      </c>
      <c r="F22" s="13">
        <v>60</v>
      </c>
    </row>
  </sheetData>
  <mergeCells count="1">
    <mergeCell ref="A1:F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F19"/>
  <sheetViews>
    <sheetView workbookViewId="0"/>
  </sheetViews>
  <sheetFormatPr defaultRowHeight="16.5"/>
  <cols>
    <col min="1" max="1" width="12.875" style="1" bestFit="1" customWidth="1"/>
    <col min="2" max="3" width="9.25" style="1" bestFit="1" customWidth="1"/>
    <col min="4" max="4" width="12.75" style="1" bestFit="1" customWidth="1"/>
    <col min="5" max="5" width="9" style="1" customWidth="1"/>
    <col min="6" max="6" width="9.25" style="1" bestFit="1" customWidth="1"/>
    <col min="7" max="16384" width="9" style="1"/>
  </cols>
  <sheetData>
    <row r="1" spans="1:6">
      <c r="A1" s="1" t="s">
        <v>26</v>
      </c>
    </row>
    <row r="2" spans="1:6">
      <c r="A2" s="1" t="s">
        <v>27</v>
      </c>
      <c r="B2" s="1" t="s">
        <v>28</v>
      </c>
      <c r="C2" s="1" t="s">
        <v>29</v>
      </c>
      <c r="D2" s="1" t="s">
        <v>1</v>
      </c>
      <c r="E2" s="1" t="s">
        <v>30</v>
      </c>
      <c r="F2" s="1" t="s">
        <v>31</v>
      </c>
    </row>
    <row r="3" spans="1:6">
      <c r="A3" s="7">
        <v>40555</v>
      </c>
      <c r="B3" s="1" t="s">
        <v>32</v>
      </c>
      <c r="C3" s="8" t="s">
        <v>33</v>
      </c>
      <c r="D3" s="8">
        <v>37</v>
      </c>
      <c r="E3" s="1">
        <v>331</v>
      </c>
    </row>
    <row r="4" spans="1:6">
      <c r="A4" s="7">
        <v>40555</v>
      </c>
      <c r="B4" s="1" t="s">
        <v>34</v>
      </c>
      <c r="C4" s="8" t="s">
        <v>35</v>
      </c>
      <c r="D4" s="8">
        <v>70</v>
      </c>
      <c r="E4" s="1">
        <v>433</v>
      </c>
    </row>
    <row r="5" spans="1:6">
      <c r="A5" s="7">
        <v>40555</v>
      </c>
      <c r="B5" s="1" t="s">
        <v>36</v>
      </c>
      <c r="C5" s="8" t="s">
        <v>37</v>
      </c>
      <c r="D5" s="8">
        <v>11</v>
      </c>
      <c r="E5" s="1">
        <v>362</v>
      </c>
    </row>
    <row r="6" spans="1:6">
      <c r="A6" s="7">
        <v>40555</v>
      </c>
      <c r="B6" s="1" t="s">
        <v>36</v>
      </c>
      <c r="C6" s="8" t="s">
        <v>37</v>
      </c>
      <c r="D6" s="8">
        <v>28</v>
      </c>
      <c r="E6" s="1">
        <v>2</v>
      </c>
      <c r="F6" s="1" t="s">
        <v>38</v>
      </c>
    </row>
    <row r="7" spans="1:6">
      <c r="A7" s="7">
        <v>40556</v>
      </c>
      <c r="B7" s="1" t="s">
        <v>32</v>
      </c>
      <c r="C7" s="8" t="s">
        <v>35</v>
      </c>
      <c r="D7" s="8">
        <v>28</v>
      </c>
      <c r="E7" s="1">
        <v>62</v>
      </c>
    </row>
    <row r="8" spans="1:6">
      <c r="A8" s="7">
        <v>40556</v>
      </c>
      <c r="B8" s="1" t="s">
        <v>34</v>
      </c>
      <c r="C8" s="8" t="s">
        <v>37</v>
      </c>
      <c r="D8" s="8">
        <v>67</v>
      </c>
      <c r="E8" s="1">
        <v>76</v>
      </c>
    </row>
    <row r="9" spans="1:6">
      <c r="A9" s="7">
        <v>40556</v>
      </c>
      <c r="B9" s="1" t="s">
        <v>36</v>
      </c>
      <c r="C9" s="8" t="s">
        <v>39</v>
      </c>
      <c r="D9" s="8">
        <v>83</v>
      </c>
      <c r="E9" s="1">
        <v>471</v>
      </c>
    </row>
    <row r="10" spans="1:6">
      <c r="A10" s="7">
        <v>40556</v>
      </c>
      <c r="B10" s="1" t="s">
        <v>36</v>
      </c>
      <c r="C10" s="8" t="s">
        <v>33</v>
      </c>
      <c r="D10" s="8">
        <v>36</v>
      </c>
      <c r="E10" s="1">
        <v>750</v>
      </c>
    </row>
    <row r="11" spans="1:6">
      <c r="A11" s="7">
        <v>40557</v>
      </c>
      <c r="B11" s="1" t="s">
        <v>32</v>
      </c>
      <c r="C11" s="8" t="s">
        <v>35</v>
      </c>
      <c r="D11" s="8">
        <v>13</v>
      </c>
      <c r="E11" s="1">
        <v>914</v>
      </c>
    </row>
    <row r="12" spans="1:6">
      <c r="A12" s="7">
        <v>40557</v>
      </c>
      <c r="B12" s="1" t="s">
        <v>34</v>
      </c>
      <c r="C12" s="8" t="s">
        <v>39</v>
      </c>
      <c r="D12" s="8">
        <v>97</v>
      </c>
      <c r="E12" s="1">
        <v>790</v>
      </c>
    </row>
    <row r="13" spans="1:6">
      <c r="A13" s="7">
        <v>40557</v>
      </c>
      <c r="B13" s="1" t="s">
        <v>34</v>
      </c>
      <c r="C13" s="8" t="s">
        <v>33</v>
      </c>
      <c r="D13" s="8">
        <v>91</v>
      </c>
      <c r="E13" s="1">
        <v>356</v>
      </c>
    </row>
    <row r="14" spans="1:6">
      <c r="A14" s="7">
        <v>40557</v>
      </c>
      <c r="B14" s="1" t="s">
        <v>36</v>
      </c>
      <c r="C14" s="8" t="s">
        <v>35</v>
      </c>
      <c r="D14" s="8">
        <v>5</v>
      </c>
      <c r="E14" s="1">
        <v>336</v>
      </c>
    </row>
    <row r="15" spans="1:6">
      <c r="A15" s="7">
        <v>40558</v>
      </c>
      <c r="B15" s="1" t="s">
        <v>32</v>
      </c>
      <c r="C15" s="8" t="s">
        <v>39</v>
      </c>
      <c r="D15" s="8">
        <v>16</v>
      </c>
      <c r="E15" s="1">
        <v>322</v>
      </c>
    </row>
    <row r="16" spans="1:6">
      <c r="A16" s="7">
        <v>40559</v>
      </c>
      <c r="B16" s="1" t="s">
        <v>32</v>
      </c>
      <c r="C16" s="8" t="s">
        <v>35</v>
      </c>
      <c r="D16" s="8">
        <v>94</v>
      </c>
      <c r="E16" s="1">
        <v>177</v>
      </c>
    </row>
    <row r="17" spans="1:5">
      <c r="A17" s="7">
        <v>40559</v>
      </c>
      <c r="B17" s="1" t="s">
        <v>36</v>
      </c>
      <c r="C17" s="8" t="s">
        <v>39</v>
      </c>
      <c r="D17" s="8">
        <v>44</v>
      </c>
      <c r="E17" s="1">
        <v>65</v>
      </c>
    </row>
    <row r="18" spans="1:5">
      <c r="A18" s="7">
        <v>40559</v>
      </c>
      <c r="B18" s="1" t="s">
        <v>36</v>
      </c>
      <c r="C18" s="8" t="s">
        <v>33</v>
      </c>
      <c r="D18" s="8">
        <v>51</v>
      </c>
      <c r="E18" s="1">
        <v>908</v>
      </c>
    </row>
    <row r="19" spans="1:5">
      <c r="A19" s="7">
        <v>40560</v>
      </c>
      <c r="B19" s="1" t="s">
        <v>34</v>
      </c>
      <c r="C19" s="8" t="s">
        <v>37</v>
      </c>
      <c r="D19" s="8">
        <v>38</v>
      </c>
      <c r="E19" s="1">
        <v>874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:H13"/>
  <sheetViews>
    <sheetView workbookViewId="0">
      <selection sqref="A1:H1"/>
    </sheetView>
  </sheetViews>
  <sheetFormatPr defaultRowHeight="16.5"/>
  <cols>
    <col min="1" max="1" width="9" style="1" bestFit="1" customWidth="1"/>
    <col min="2" max="2" width="7.375" style="1" bestFit="1" customWidth="1"/>
    <col min="3" max="3" width="5.5" style="1" bestFit="1" customWidth="1"/>
    <col min="4" max="4" width="9.25" style="1" bestFit="1" customWidth="1"/>
    <col min="5" max="5" width="10.875" style="1" bestFit="1" customWidth="1"/>
    <col min="6" max="6" width="11.875" style="1" bestFit="1" customWidth="1"/>
    <col min="7" max="7" width="10.875" style="1" bestFit="1" customWidth="1"/>
    <col min="8" max="8" width="11.875" style="1" bestFit="1" customWidth="1"/>
    <col min="9" max="16384" width="9" style="1"/>
  </cols>
  <sheetData>
    <row r="1" spans="1:8" ht="20.25">
      <c r="A1" s="15" t="s">
        <v>2</v>
      </c>
      <c r="B1" s="15"/>
      <c r="C1" s="15"/>
      <c r="D1" s="15"/>
      <c r="E1" s="15"/>
      <c r="F1" s="15"/>
      <c r="G1" s="15"/>
      <c r="H1" s="15"/>
    </row>
    <row r="2" spans="1:8">
      <c r="A2" s="2" t="s">
        <v>3</v>
      </c>
      <c r="B2" s="3" t="s">
        <v>4</v>
      </c>
      <c r="C2" s="3" t="s">
        <v>5</v>
      </c>
      <c r="D2" s="3" t="s">
        <v>6</v>
      </c>
      <c r="E2" s="3" t="s">
        <v>7</v>
      </c>
      <c r="F2" s="3" t="s">
        <v>8</v>
      </c>
      <c r="G2" s="3" t="s">
        <v>9</v>
      </c>
      <c r="H2" s="3" t="s">
        <v>10</v>
      </c>
    </row>
    <row r="3" spans="1:8">
      <c r="A3" s="3">
        <v>12011</v>
      </c>
      <c r="B3" s="3" t="s">
        <v>11</v>
      </c>
      <c r="C3" s="4" t="s">
        <v>12</v>
      </c>
      <c r="D3" s="5">
        <v>1860000</v>
      </c>
      <c r="E3" s="6">
        <f t="shared" ref="E3:E13" si="0">D3*80%</f>
        <v>1488000</v>
      </c>
      <c r="F3" s="6">
        <f t="shared" ref="F3:F13" si="1">D3+E3</f>
        <v>3348000</v>
      </c>
      <c r="G3" s="6">
        <f t="shared" ref="G3:G13" si="2">F3*12%</f>
        <v>401760</v>
      </c>
      <c r="H3" s="6">
        <f t="shared" ref="H3:H13" si="3">F3-G3</f>
        <v>2946240</v>
      </c>
    </row>
    <row r="4" spans="1:8">
      <c r="A4" s="3">
        <v>12016</v>
      </c>
      <c r="B4" s="3" t="s">
        <v>13</v>
      </c>
      <c r="C4" s="4" t="s">
        <v>14</v>
      </c>
      <c r="D4" s="5">
        <v>850000</v>
      </c>
      <c r="E4" s="6">
        <f t="shared" si="0"/>
        <v>680000</v>
      </c>
      <c r="F4" s="6">
        <f t="shared" si="1"/>
        <v>1530000</v>
      </c>
      <c r="G4" s="6">
        <f t="shared" si="2"/>
        <v>183600</v>
      </c>
      <c r="H4" s="6">
        <f t="shared" si="3"/>
        <v>1346400</v>
      </c>
    </row>
    <row r="5" spans="1:8">
      <c r="A5" s="3">
        <v>12017</v>
      </c>
      <c r="B5" s="3" t="s">
        <v>15</v>
      </c>
      <c r="C5" s="4" t="s">
        <v>12</v>
      </c>
      <c r="D5" s="5">
        <v>1700000</v>
      </c>
      <c r="E5" s="6">
        <f t="shared" si="0"/>
        <v>1360000</v>
      </c>
      <c r="F5" s="6">
        <f t="shared" si="1"/>
        <v>3060000</v>
      </c>
      <c r="G5" s="6">
        <f t="shared" si="2"/>
        <v>367200</v>
      </c>
      <c r="H5" s="6">
        <f t="shared" si="3"/>
        <v>2692800</v>
      </c>
    </row>
    <row r="6" spans="1:8">
      <c r="A6" s="3">
        <v>12022</v>
      </c>
      <c r="B6" s="3" t="s">
        <v>16</v>
      </c>
      <c r="C6" s="4" t="s">
        <v>17</v>
      </c>
      <c r="D6" s="5">
        <v>2350000</v>
      </c>
      <c r="E6" s="6">
        <f t="shared" si="0"/>
        <v>1880000</v>
      </c>
      <c r="F6" s="6">
        <f t="shared" si="1"/>
        <v>4230000</v>
      </c>
      <c r="G6" s="6">
        <f t="shared" si="2"/>
        <v>507600</v>
      </c>
      <c r="H6" s="6">
        <f t="shared" si="3"/>
        <v>3722400</v>
      </c>
    </row>
    <row r="7" spans="1:8">
      <c r="A7" s="3">
        <v>12023</v>
      </c>
      <c r="B7" s="3" t="s">
        <v>18</v>
      </c>
      <c r="C7" s="4" t="s">
        <v>14</v>
      </c>
      <c r="D7" s="5">
        <v>900000</v>
      </c>
      <c r="E7" s="6">
        <f t="shared" si="0"/>
        <v>720000</v>
      </c>
      <c r="F7" s="6">
        <f t="shared" si="1"/>
        <v>1620000</v>
      </c>
      <c r="G7" s="6">
        <f t="shared" si="2"/>
        <v>194400</v>
      </c>
      <c r="H7" s="6">
        <f t="shared" si="3"/>
        <v>1425600</v>
      </c>
    </row>
    <row r="8" spans="1:8">
      <c r="A8" s="3">
        <v>12024</v>
      </c>
      <c r="B8" s="3" t="s">
        <v>19</v>
      </c>
      <c r="C8" s="4" t="s">
        <v>20</v>
      </c>
      <c r="D8" s="5">
        <v>1350000</v>
      </c>
      <c r="E8" s="6">
        <f t="shared" si="0"/>
        <v>1080000</v>
      </c>
      <c r="F8" s="6">
        <f t="shared" si="1"/>
        <v>2430000</v>
      </c>
      <c r="G8" s="6">
        <f t="shared" si="2"/>
        <v>291600</v>
      </c>
      <c r="H8" s="6">
        <f t="shared" si="3"/>
        <v>2138400</v>
      </c>
    </row>
    <row r="9" spans="1:8">
      <c r="A9" s="3">
        <v>12027</v>
      </c>
      <c r="B9" s="3" t="s">
        <v>21</v>
      </c>
      <c r="C9" s="4" t="s">
        <v>14</v>
      </c>
      <c r="D9" s="5">
        <v>9500000</v>
      </c>
      <c r="E9" s="6">
        <f t="shared" si="0"/>
        <v>7600000</v>
      </c>
      <c r="F9" s="6">
        <f t="shared" si="1"/>
        <v>17100000</v>
      </c>
      <c r="G9" s="6">
        <f t="shared" si="2"/>
        <v>2052000</v>
      </c>
      <c r="H9" s="6">
        <f t="shared" si="3"/>
        <v>15048000</v>
      </c>
    </row>
    <row r="10" spans="1:8">
      <c r="A10" s="3">
        <v>12031</v>
      </c>
      <c r="B10" s="3" t="s">
        <v>22</v>
      </c>
      <c r="C10" s="4" t="s">
        <v>17</v>
      </c>
      <c r="D10" s="5">
        <v>2500000</v>
      </c>
      <c r="E10" s="6">
        <f t="shared" si="0"/>
        <v>2000000</v>
      </c>
      <c r="F10" s="6">
        <f t="shared" si="1"/>
        <v>4500000</v>
      </c>
      <c r="G10" s="6">
        <f t="shared" si="2"/>
        <v>540000</v>
      </c>
      <c r="H10" s="6">
        <f t="shared" si="3"/>
        <v>3960000</v>
      </c>
    </row>
    <row r="11" spans="1:8">
      <c r="A11" s="3">
        <v>12036</v>
      </c>
      <c r="B11" s="3" t="s">
        <v>23</v>
      </c>
      <c r="C11" s="4" t="s">
        <v>20</v>
      </c>
      <c r="D11" s="5">
        <v>1200000</v>
      </c>
      <c r="E11" s="6">
        <f t="shared" si="0"/>
        <v>960000</v>
      </c>
      <c r="F11" s="6">
        <f t="shared" si="1"/>
        <v>2160000</v>
      </c>
      <c r="G11" s="6">
        <f t="shared" si="2"/>
        <v>259200</v>
      </c>
      <c r="H11" s="6">
        <f t="shared" si="3"/>
        <v>1900800</v>
      </c>
    </row>
    <row r="12" spans="1:8">
      <c r="A12" s="3">
        <v>12037</v>
      </c>
      <c r="B12" s="3" t="s">
        <v>24</v>
      </c>
      <c r="C12" s="4" t="s">
        <v>20</v>
      </c>
      <c r="D12" s="5">
        <v>1200000</v>
      </c>
      <c r="E12" s="6">
        <f t="shared" si="0"/>
        <v>960000</v>
      </c>
      <c r="F12" s="6">
        <f t="shared" si="1"/>
        <v>2160000</v>
      </c>
      <c r="G12" s="6">
        <f t="shared" si="2"/>
        <v>259200</v>
      </c>
      <c r="H12" s="6">
        <f t="shared" si="3"/>
        <v>1900800</v>
      </c>
    </row>
    <row r="13" spans="1:8">
      <c r="A13" s="3">
        <v>12038</v>
      </c>
      <c r="B13" s="3" t="s">
        <v>25</v>
      </c>
      <c r="C13" s="4" t="s">
        <v>14</v>
      </c>
      <c r="D13" s="5">
        <v>1000000</v>
      </c>
      <c r="E13" s="6">
        <f t="shared" si="0"/>
        <v>800000</v>
      </c>
      <c r="F13" s="6">
        <f t="shared" si="1"/>
        <v>1800000</v>
      </c>
      <c r="G13" s="6">
        <f t="shared" si="2"/>
        <v>216000</v>
      </c>
      <c r="H13" s="6">
        <f t="shared" si="3"/>
        <v>1584000</v>
      </c>
    </row>
  </sheetData>
  <mergeCells count="1">
    <mergeCell ref="A1:H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시나공</cp:lastModifiedBy>
  <dcterms:created xsi:type="dcterms:W3CDTF">2011-06-14T09:24:22Z</dcterms:created>
  <dcterms:modified xsi:type="dcterms:W3CDTF">2014-07-22T08:34:13Z</dcterms:modified>
</cp:coreProperties>
</file>