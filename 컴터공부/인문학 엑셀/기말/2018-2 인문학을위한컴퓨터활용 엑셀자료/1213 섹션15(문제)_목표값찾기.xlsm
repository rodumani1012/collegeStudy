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</sheets>
  <definedNames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무작정따라하기!#REF!</definedName>
    <definedName name="solver_lhs2" localSheetId="0" hidden="1">무작정따라하기!#REF!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무작정따라하기!$E$2</definedName>
    <definedName name="solver_pre" localSheetId="0" hidden="1">0.000001</definedName>
    <definedName name="solver_rel1" localSheetId="0" hidden="1">1</definedName>
    <definedName name="solver_rel2" localSheetId="0" hidden="1">1</definedName>
    <definedName name="solver_rhs1" localSheetId="0" hidden="1">80</definedName>
    <definedName name="solver_rhs2" localSheetId="0" hidden="1">80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50</definedName>
  </definedNames>
  <calcPr calcId="125725"/>
</workbook>
</file>

<file path=xl/calcChain.xml><?xml version="1.0" encoding="utf-8"?>
<calcChain xmlns="http://schemas.openxmlformats.org/spreadsheetml/2006/main">
  <c r="F8" i="5"/>
  <c r="F7"/>
  <c r="E6"/>
  <c r="D6"/>
  <c r="C6"/>
  <c r="B6"/>
  <c r="F6" s="1"/>
  <c r="E5"/>
  <c r="E9" s="1"/>
  <c r="D5"/>
  <c r="D9" s="1"/>
  <c r="C5"/>
  <c r="C9" s="1"/>
  <c r="B5"/>
  <c r="B9" s="1"/>
  <c r="F9" s="1"/>
  <c r="F4"/>
  <c r="E2" i="4"/>
  <c r="F5" i="5" l="1"/>
</calcChain>
</file>

<file path=xl/sharedStrings.xml><?xml version="1.0" encoding="utf-8"?>
<sst xmlns="http://schemas.openxmlformats.org/spreadsheetml/2006/main" count="20" uniqueCount="20">
  <si>
    <t>길벗 계열회사별 손익계산표</t>
    <phoneticPr fontId="3" type="noConversion"/>
  </si>
  <si>
    <t>게열A</t>
    <phoneticPr fontId="3" type="noConversion"/>
  </si>
  <si>
    <t>계열B</t>
    <phoneticPr fontId="3" type="noConversion"/>
  </si>
  <si>
    <t>계열C</t>
    <phoneticPr fontId="3" type="noConversion"/>
  </si>
  <si>
    <t>계열D</t>
    <phoneticPr fontId="3" type="noConversion"/>
  </si>
  <si>
    <t>합계</t>
    <phoneticPr fontId="3" type="noConversion"/>
  </si>
  <si>
    <t>판매 단위</t>
    <phoneticPr fontId="3" type="noConversion"/>
  </si>
  <si>
    <t>판매 수입</t>
    <phoneticPr fontId="3" type="noConversion"/>
  </si>
  <si>
    <t>판매 비용</t>
    <phoneticPr fontId="3" type="noConversion"/>
  </si>
  <si>
    <t>광고 비용</t>
    <phoneticPr fontId="3" type="noConversion"/>
  </si>
  <si>
    <t>설비 비용</t>
    <phoneticPr fontId="3" type="noConversion"/>
  </si>
  <si>
    <t>이익</t>
    <phoneticPr fontId="3" type="noConversion"/>
  </si>
  <si>
    <t>제품 가격</t>
    <phoneticPr fontId="3" type="noConversion"/>
  </si>
  <si>
    <t>(단위:천)</t>
    <phoneticPr fontId="3" type="noConversion"/>
  </si>
  <si>
    <t>제품 비용</t>
    <phoneticPr fontId="3" type="noConversion"/>
  </si>
  <si>
    <t>대출상환</t>
    <phoneticPr fontId="3" type="noConversion"/>
  </si>
  <si>
    <t>대출금액</t>
    <phoneticPr fontId="3" type="noConversion"/>
  </si>
  <si>
    <t>월상환액</t>
    <phoneticPr fontId="3" type="noConversion"/>
  </si>
  <si>
    <t>상환기간(연)</t>
    <phoneticPr fontId="3" type="noConversion"/>
  </si>
  <si>
    <t>이자율(연)</t>
    <phoneticPr fontId="3" type="noConversion"/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</si>
</sst>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176" formatCode="#,##0_ "/>
    <numFmt numFmtId="177" formatCode="#,##0_);[Red]\(#,##0\)"/>
    <numFmt numFmtId="178" formatCode="&quot;₩&quot;#,##0.00"/>
  </numFmts>
  <fonts count="8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0" fontId="1" fillId="0" borderId="0"/>
    <xf numFmtId="41" fontId="1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0" fontId="4" fillId="0" borderId="0" xfId="1" applyFont="1" applyAlignment="1">
      <alignment horizontal="center"/>
    </xf>
    <xf numFmtId="0" fontId="5" fillId="0" borderId="0" xfId="1" applyFont="1"/>
    <xf numFmtId="0" fontId="5" fillId="0" borderId="2" xfId="1" applyFont="1" applyBorder="1"/>
    <xf numFmtId="0" fontId="6" fillId="0" borderId="3" xfId="1" applyFont="1" applyBorder="1" applyAlignment="1">
      <alignment horizontal="center"/>
    </xf>
    <xf numFmtId="0" fontId="5" fillId="0" borderId="4" xfId="1" applyFont="1" applyBorder="1"/>
    <xf numFmtId="41" fontId="5" fillId="0" borderId="5" xfId="3" applyFont="1" applyBorder="1"/>
    <xf numFmtId="177" fontId="5" fillId="0" borderId="5" xfId="3" applyNumberFormat="1" applyFont="1" applyBorder="1"/>
    <xf numFmtId="0" fontId="5" fillId="0" borderId="6" xfId="1" applyFont="1" applyBorder="1"/>
    <xf numFmtId="41" fontId="5" fillId="0" borderId="7" xfId="3" applyFont="1" applyBorder="1"/>
    <xf numFmtId="177" fontId="5" fillId="0" borderId="7" xfId="3" applyNumberFormat="1" applyFont="1" applyBorder="1"/>
    <xf numFmtId="0" fontId="5" fillId="0" borderId="8" xfId="1" applyFont="1" applyBorder="1"/>
    <xf numFmtId="41" fontId="5" fillId="0" borderId="9" xfId="3" applyFont="1" applyBorder="1"/>
    <xf numFmtId="177" fontId="5" fillId="0" borderId="9" xfId="3" applyNumberFormat="1" applyFont="1" applyBorder="1"/>
    <xf numFmtId="41" fontId="7" fillId="0" borderId="5" xfId="3" applyFont="1" applyBorder="1"/>
    <xf numFmtId="41" fontId="7" fillId="0" borderId="2" xfId="3" applyFont="1" applyBorder="1"/>
    <xf numFmtId="41" fontId="7" fillId="0" borderId="10" xfId="3" applyFont="1" applyBorder="1"/>
    <xf numFmtId="0" fontId="5" fillId="0" borderId="11" xfId="1" applyFont="1" applyBorder="1" applyAlignment="1">
      <alignment horizontal="center" vertical="center"/>
    </xf>
    <xf numFmtId="41" fontId="7" fillId="0" borderId="9" xfId="3" applyFont="1" applyBorder="1"/>
    <xf numFmtId="41" fontId="7" fillId="0" borderId="12" xfId="3" applyFont="1" applyBorder="1"/>
    <xf numFmtId="41" fontId="7" fillId="0" borderId="13" xfId="3" applyFont="1" applyBorder="1"/>
    <xf numFmtId="0" fontId="5" fillId="0" borderId="14" xfId="1" applyFont="1" applyBorder="1" applyAlignment="1">
      <alignment horizontal="center" vertical="center"/>
    </xf>
    <xf numFmtId="3" fontId="5" fillId="0" borderId="0" xfId="1" applyNumberFormat="1" applyFont="1"/>
    <xf numFmtId="178" fontId="5" fillId="0" borderId="0" xfId="1" applyNumberFormat="1" applyFont="1"/>
    <xf numFmtId="0" fontId="6" fillId="0" borderId="0" xfId="1" applyFont="1" applyAlignment="1">
      <alignment horizontal="center"/>
    </xf>
    <xf numFmtId="0" fontId="5" fillId="0" borderId="1" xfId="2" applyFont="1" applyBorder="1" applyAlignment="1">
      <alignment horizontal="left"/>
    </xf>
    <xf numFmtId="176" fontId="5" fillId="0" borderId="1" xfId="2" applyNumberFormat="1" applyFont="1" applyBorder="1" applyAlignment="1">
      <alignment horizontal="right"/>
    </xf>
    <xf numFmtId="0" fontId="6" fillId="0" borderId="1" xfId="2" applyFont="1" applyBorder="1" applyAlignment="1">
      <alignment horizontal="center"/>
    </xf>
    <xf numFmtId="176" fontId="5" fillId="0" borderId="1" xfId="2" applyNumberFormat="1" applyFont="1" applyBorder="1"/>
    <xf numFmtId="9" fontId="5" fillId="0" borderId="1" xfId="2" applyNumberFormat="1" applyFont="1" applyBorder="1" applyAlignment="1">
      <alignment horizontal="right"/>
    </xf>
  </cellXfs>
  <cellStyles count="4">
    <cellStyle name="쉼표 [0] 2" xfId="3"/>
    <cellStyle name="표준" xfId="0" builtinId="0"/>
    <cellStyle name="표준 2" xfId="1"/>
    <cellStyle name="표준_상공회의소문제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4"/>
  <sheetViews>
    <sheetView tabSelected="1" workbookViewId="0">
      <selection sqref="A1:B1"/>
    </sheetView>
  </sheetViews>
  <sheetFormatPr defaultRowHeight="16.5"/>
  <cols>
    <col min="1" max="1" width="12.75" style="2" bestFit="1" customWidth="1"/>
    <col min="2" max="2" width="11.75" style="2" customWidth="1"/>
    <col min="3" max="3" width="2" style="2" customWidth="1"/>
    <col min="4" max="4" width="9.25" style="2" bestFit="1" customWidth="1"/>
    <col min="5" max="5" width="9.375" style="2" customWidth="1"/>
    <col min="6" max="16384" width="9" style="2"/>
  </cols>
  <sheetData>
    <row r="1" spans="1:5">
      <c r="A1" s="24" t="s">
        <v>15</v>
      </c>
      <c r="B1" s="24"/>
    </row>
    <row r="2" spans="1:5">
      <c r="A2" s="25" t="s">
        <v>16</v>
      </c>
      <c r="B2" s="26">
        <v>1000000</v>
      </c>
      <c r="D2" s="27" t="s">
        <v>17</v>
      </c>
      <c r="E2" s="28">
        <f>ROUND(PMT(B4/12,B3*12, -B2),-3)</f>
        <v>44000</v>
      </c>
    </row>
    <row r="3" spans="1:5">
      <c r="A3" s="25" t="s">
        <v>18</v>
      </c>
      <c r="B3" s="26">
        <v>2</v>
      </c>
    </row>
    <row r="4" spans="1:5">
      <c r="A4" s="25" t="s">
        <v>19</v>
      </c>
      <c r="B4" s="29">
        <v>0.06</v>
      </c>
    </row>
  </sheetData>
  <mergeCells count="1">
    <mergeCell ref="A1:B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7"/>
  <sheetViews>
    <sheetView workbookViewId="0">
      <selection sqref="A1:F1"/>
    </sheetView>
  </sheetViews>
  <sheetFormatPr defaultRowHeight="16.5"/>
  <cols>
    <col min="1" max="1" width="9.25" style="2" customWidth="1"/>
    <col min="2" max="2" width="10.25" style="2" customWidth="1"/>
    <col min="3" max="3" width="10.5" style="2" customWidth="1"/>
    <col min="4" max="4" width="10.375" style="2" customWidth="1"/>
    <col min="5" max="5" width="10.25" style="2" customWidth="1"/>
    <col min="6" max="6" width="10.625" style="2" customWidth="1"/>
    <col min="7" max="16384" width="9" style="2"/>
  </cols>
  <sheetData>
    <row r="1" spans="1:6" ht="20.25">
      <c r="A1" s="1" t="s">
        <v>0</v>
      </c>
      <c r="B1" s="1"/>
      <c r="C1" s="1"/>
      <c r="D1" s="1"/>
      <c r="E1" s="1"/>
      <c r="F1" s="1"/>
    </row>
    <row r="2" spans="1:6" ht="17.25" thickBot="1"/>
    <row r="3" spans="1:6" ht="17.25" thickBot="1">
      <c r="A3" s="3"/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</row>
    <row r="4" spans="1:6">
      <c r="A4" s="5" t="s">
        <v>6</v>
      </c>
      <c r="B4" s="6">
        <v>3592</v>
      </c>
      <c r="C4" s="6">
        <v>4390</v>
      </c>
      <c r="D4" s="6">
        <v>3192</v>
      </c>
      <c r="E4" s="6">
        <v>4789</v>
      </c>
      <c r="F4" s="7">
        <f t="shared" ref="F4:F9" si="0">SUM(B4:E4)</f>
        <v>15963</v>
      </c>
    </row>
    <row r="5" spans="1:6">
      <c r="A5" s="8" t="s">
        <v>7</v>
      </c>
      <c r="B5" s="9">
        <f>$B$10*B4</f>
        <v>143680</v>
      </c>
      <c r="C5" s="9">
        <f>$B$10*C4</f>
        <v>175600</v>
      </c>
      <c r="D5" s="9">
        <f>$B$10*D4</f>
        <v>127680</v>
      </c>
      <c r="E5" s="9">
        <f>$B$10*E4</f>
        <v>191560</v>
      </c>
      <c r="F5" s="10">
        <f t="shared" si="0"/>
        <v>638520</v>
      </c>
    </row>
    <row r="6" spans="1:6">
      <c r="A6" s="8" t="s">
        <v>8</v>
      </c>
      <c r="B6" s="9">
        <f>B4*$B$11</f>
        <v>89800</v>
      </c>
      <c r="C6" s="9">
        <f>C4*$B$11</f>
        <v>109750</v>
      </c>
      <c r="D6" s="9">
        <f>D4*$B$11</f>
        <v>79800</v>
      </c>
      <c r="E6" s="9">
        <f>E4*$B$11</f>
        <v>119725</v>
      </c>
      <c r="F6" s="10">
        <f t="shared" si="0"/>
        <v>399075</v>
      </c>
    </row>
    <row r="7" spans="1:6">
      <c r="A7" s="8" t="s">
        <v>9</v>
      </c>
      <c r="B7" s="9">
        <v>14251</v>
      </c>
      <c r="C7" s="9">
        <v>12346</v>
      </c>
      <c r="D7" s="9">
        <v>13368</v>
      </c>
      <c r="E7" s="9">
        <v>15263</v>
      </c>
      <c r="F7" s="10">
        <f t="shared" si="0"/>
        <v>55228</v>
      </c>
    </row>
    <row r="8" spans="1:6">
      <c r="A8" s="8" t="s">
        <v>10</v>
      </c>
      <c r="B8" s="9">
        <v>21549</v>
      </c>
      <c r="C8" s="9">
        <v>26338</v>
      </c>
      <c r="D8" s="9">
        <v>19155</v>
      </c>
      <c r="E8" s="9">
        <v>28732</v>
      </c>
      <c r="F8" s="10">
        <f t="shared" si="0"/>
        <v>95774</v>
      </c>
    </row>
    <row r="9" spans="1:6" ht="17.25" thickBot="1">
      <c r="A9" s="11" t="s">
        <v>11</v>
      </c>
      <c r="B9" s="12">
        <f>B5-(B6+B7+B8)</f>
        <v>18080</v>
      </c>
      <c r="C9" s="12">
        <f>C5-(C6+C7+C8)</f>
        <v>27166</v>
      </c>
      <c r="D9" s="12">
        <f>D5-(D6+D7+D8)</f>
        <v>15357</v>
      </c>
      <c r="E9" s="12">
        <f>E5-(E6+E7+E8)</f>
        <v>27840</v>
      </c>
      <c r="F9" s="13">
        <f t="shared" si="0"/>
        <v>88443</v>
      </c>
    </row>
    <row r="10" spans="1:6">
      <c r="A10" s="5" t="s">
        <v>12</v>
      </c>
      <c r="B10" s="14">
        <v>40</v>
      </c>
      <c r="C10" s="15"/>
      <c r="D10" s="16"/>
      <c r="E10" s="16"/>
      <c r="F10" s="17" t="s">
        <v>13</v>
      </c>
    </row>
    <row r="11" spans="1:6" ht="17.25" thickBot="1">
      <c r="A11" s="11" t="s">
        <v>14</v>
      </c>
      <c r="B11" s="18">
        <v>25</v>
      </c>
      <c r="C11" s="19"/>
      <c r="D11" s="20"/>
      <c r="E11" s="20"/>
      <c r="F11" s="21"/>
    </row>
    <row r="14" spans="1:6">
      <c r="B14" s="22"/>
    </row>
    <row r="16" spans="1:6">
      <c r="B16" s="23"/>
    </row>
    <row r="17" spans="2:2">
      <c r="B17" s="23"/>
    </row>
  </sheetData>
  <mergeCells count="2">
    <mergeCell ref="A1:F1"/>
    <mergeCell ref="F10:F1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2011-06-14T09:34:01Z</dcterms:created>
  <dcterms:modified xsi:type="dcterms:W3CDTF">2011-06-14T09:34:31Z</dcterms:modified>
</cp:coreProperties>
</file>