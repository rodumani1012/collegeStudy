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8\Downloads\"/>
    </mc:Choice>
  </mc:AlternateContent>
  <bookViews>
    <workbookView xWindow="0" yWindow="0" windowWidth="16170" windowHeight="6075"/>
  </bookViews>
  <sheets>
    <sheet name="무작정따라하기" sheetId="4" r:id="rId1"/>
  </sheets>
  <calcPr calcId="152511"/>
</workbook>
</file>

<file path=xl/calcChain.xml><?xml version="1.0" encoding="utf-8"?>
<calcChain xmlns="http://schemas.openxmlformats.org/spreadsheetml/2006/main">
  <c r="D31" i="4" l="1"/>
  <c r="D32" i="4"/>
  <c r="D30" i="4"/>
  <c r="I18" i="4"/>
  <c r="C26" i="4"/>
  <c r="D19" i="4"/>
  <c r="D20" i="4"/>
  <c r="D21" i="4"/>
  <c r="D22" i="4"/>
  <c r="D23" i="4"/>
  <c r="D24" i="4"/>
  <c r="D18" i="4"/>
  <c r="J4" i="4"/>
  <c r="J5" i="4"/>
  <c r="J6" i="4"/>
  <c r="J7" i="4"/>
  <c r="J8" i="4"/>
  <c r="J9" i="4"/>
  <c r="J3" i="4"/>
  <c r="D3" i="4"/>
  <c r="D4" i="4"/>
  <c r="D5" i="4"/>
  <c r="D6" i="4"/>
  <c r="D7" i="4"/>
  <c r="D8" i="4"/>
  <c r="D9" i="4"/>
</calcChain>
</file>

<file path=xl/sharedStrings.xml><?xml version="1.0" encoding="utf-8"?>
<sst xmlns="http://schemas.openxmlformats.org/spreadsheetml/2006/main" count="103" uniqueCount="90">
  <si>
    <t>접수코드</t>
    <phoneticPr fontId="3" type="noConversion"/>
  </si>
  <si>
    <t>고객명</t>
    <phoneticPr fontId="3" type="noConversion"/>
  </si>
  <si>
    <t>대출금액</t>
    <phoneticPr fontId="3" type="noConversion"/>
  </si>
  <si>
    <t>대출금리</t>
    <phoneticPr fontId="3" type="noConversion"/>
  </si>
  <si>
    <t>매장명</t>
    <phoneticPr fontId="3" type="noConversion"/>
  </si>
  <si>
    <t>사원명</t>
    <phoneticPr fontId="3" type="noConversion"/>
  </si>
  <si>
    <t>상품코드</t>
    <phoneticPr fontId="3" type="noConversion"/>
  </si>
  <si>
    <t>판매수량</t>
    <phoneticPr fontId="3" type="noConversion"/>
  </si>
  <si>
    <t>판매금액</t>
    <phoneticPr fontId="3" type="noConversion"/>
  </si>
  <si>
    <t>001-3-1121</t>
    <phoneticPr fontId="3" type="noConversion"/>
  </si>
  <si>
    <t>김현민</t>
    <phoneticPr fontId="3" type="noConversion"/>
  </si>
  <si>
    <t>서부</t>
    <phoneticPr fontId="3" type="noConversion"/>
  </si>
  <si>
    <t>안기자</t>
    <phoneticPr fontId="3" type="noConversion"/>
  </si>
  <si>
    <t>002-2-3241</t>
    <phoneticPr fontId="3" type="noConversion"/>
  </si>
  <si>
    <t>우지혜</t>
    <phoneticPr fontId="3" type="noConversion"/>
  </si>
  <si>
    <t>여규식</t>
    <phoneticPr fontId="3" type="noConversion"/>
  </si>
  <si>
    <t>강수인</t>
    <phoneticPr fontId="3" type="noConversion"/>
  </si>
  <si>
    <t>남부</t>
    <phoneticPr fontId="3" type="noConversion"/>
  </si>
  <si>
    <t>오선길</t>
    <phoneticPr fontId="3" type="noConversion"/>
  </si>
  <si>
    <t>004-1-4532</t>
    <phoneticPr fontId="3" type="noConversion"/>
  </si>
  <si>
    <t>안정호</t>
    <phoneticPr fontId="3" type="noConversion"/>
  </si>
  <si>
    <t>오준모</t>
    <phoneticPr fontId="3" type="noConversion"/>
  </si>
  <si>
    <t>005-2-3421</t>
    <phoneticPr fontId="3" type="noConversion"/>
  </si>
  <si>
    <t>유현상</t>
    <phoneticPr fontId="3" type="noConversion"/>
  </si>
  <si>
    <t>여민찬</t>
    <phoneticPr fontId="3" type="noConversion"/>
  </si>
  <si>
    <t>006-3-4567</t>
    <phoneticPr fontId="3" type="noConversion"/>
  </si>
  <si>
    <t>도야지</t>
    <phoneticPr fontId="3" type="noConversion"/>
  </si>
  <si>
    <t>동부</t>
    <phoneticPr fontId="3" type="noConversion"/>
  </si>
  <si>
    <t>김현수</t>
    <phoneticPr fontId="3" type="noConversion"/>
  </si>
  <si>
    <t>최우영</t>
    <phoneticPr fontId="3" type="noConversion"/>
  </si>
  <si>
    <t>구성태</t>
    <phoneticPr fontId="3" type="noConversion"/>
  </si>
  <si>
    <t>코드</t>
    <phoneticPr fontId="3" type="noConversion"/>
  </si>
  <si>
    <t>대출상품</t>
    <phoneticPr fontId="3" type="noConversion"/>
  </si>
  <si>
    <t>&lt;상품단가표&gt;</t>
    <phoneticPr fontId="3" type="noConversion"/>
  </si>
  <si>
    <t>1</t>
    <phoneticPr fontId="3" type="noConversion"/>
  </si>
  <si>
    <t>학자금</t>
    <phoneticPr fontId="3" type="noConversion"/>
  </si>
  <si>
    <t>2</t>
    <phoneticPr fontId="3" type="noConversion"/>
  </si>
  <si>
    <t>출산</t>
    <phoneticPr fontId="3" type="noConversion"/>
  </si>
  <si>
    <t>판매가</t>
    <phoneticPr fontId="3" type="noConversion"/>
  </si>
  <si>
    <t>3</t>
    <phoneticPr fontId="3" type="noConversion"/>
  </si>
  <si>
    <t>결혼자금</t>
    <phoneticPr fontId="3" type="noConversion"/>
  </si>
  <si>
    <t>출고가</t>
    <phoneticPr fontId="3" type="noConversion"/>
  </si>
  <si>
    <t>성명</t>
    <phoneticPr fontId="3" type="noConversion"/>
  </si>
  <si>
    <t>성별</t>
    <phoneticPr fontId="3" type="noConversion"/>
  </si>
  <si>
    <t>성적</t>
    <phoneticPr fontId="3" type="noConversion"/>
  </si>
  <si>
    <t>비고</t>
    <phoneticPr fontId="3" type="noConversion"/>
  </si>
  <si>
    <t>사원코드</t>
    <phoneticPr fontId="3" type="noConversion"/>
  </si>
  <si>
    <t>강성권</t>
    <phoneticPr fontId="3" type="noConversion"/>
  </si>
  <si>
    <t>남</t>
    <phoneticPr fontId="3" type="noConversion"/>
  </si>
  <si>
    <t>정지호</t>
    <phoneticPr fontId="3" type="noConversion"/>
  </si>
  <si>
    <t>이길순</t>
    <phoneticPr fontId="3" type="noConversion"/>
  </si>
  <si>
    <t>방정수</t>
    <phoneticPr fontId="3" type="noConversion"/>
  </si>
  <si>
    <t>하길주</t>
    <phoneticPr fontId="3" type="noConversion"/>
  </si>
  <si>
    <t>여</t>
    <phoneticPr fontId="3" type="noConversion"/>
  </si>
  <si>
    <t>도지영</t>
    <phoneticPr fontId="3" type="noConversion"/>
  </si>
  <si>
    <t>이선호</t>
    <phoneticPr fontId="3" type="noConversion"/>
  </si>
  <si>
    <t>박철환</t>
    <phoneticPr fontId="3" type="noConversion"/>
  </si>
  <si>
    <t>강성수</t>
    <phoneticPr fontId="3" type="noConversion"/>
  </si>
  <si>
    <t>성인수</t>
    <phoneticPr fontId="3" type="noConversion"/>
  </si>
  <si>
    <t>김보견</t>
    <phoneticPr fontId="3" type="noConversion"/>
  </si>
  <si>
    <t>소지성</t>
    <phoneticPr fontId="3" type="noConversion"/>
  </si>
  <si>
    <t>천수만</t>
    <phoneticPr fontId="3" type="noConversion"/>
  </si>
  <si>
    <t>심학성</t>
    <phoneticPr fontId="3" type="noConversion"/>
  </si>
  <si>
    <t>윤자요</t>
    <phoneticPr fontId="3" type="noConversion"/>
  </si>
  <si>
    <t>노력인 학생의 성적합계</t>
    <phoneticPr fontId="3" type="noConversion"/>
  </si>
  <si>
    <t>최주영</t>
    <phoneticPr fontId="3" type="noConversion"/>
  </si>
  <si>
    <t>품목</t>
    <phoneticPr fontId="3" type="noConversion"/>
  </si>
  <si>
    <t>생산량</t>
    <phoneticPr fontId="3" type="noConversion"/>
  </si>
  <si>
    <t>상자당 개수</t>
    <phoneticPr fontId="3" type="noConversion"/>
  </si>
  <si>
    <t>나머지</t>
    <phoneticPr fontId="3" type="noConversion"/>
  </si>
  <si>
    <t>사과</t>
    <phoneticPr fontId="3" type="noConversion"/>
  </si>
  <si>
    <t>배</t>
    <phoneticPr fontId="3" type="noConversion"/>
  </si>
  <si>
    <t>복숭아</t>
    <phoneticPr fontId="3" type="noConversion"/>
  </si>
  <si>
    <r>
      <t xml:space="preserve">[표1] </t>
    </r>
    <r>
      <rPr>
        <sz val="11"/>
        <color theme="1"/>
        <rFont val="맑은 고딕"/>
        <family val="3"/>
        <charset val="129"/>
      </rPr>
      <t>대출금 내역</t>
    </r>
    <phoneticPr fontId="3" type="noConversion"/>
  </si>
  <si>
    <r>
      <t xml:space="preserve">[표2] </t>
    </r>
    <r>
      <rPr>
        <sz val="11"/>
        <color theme="1"/>
        <rFont val="맑은 고딕"/>
        <family val="3"/>
        <charset val="129"/>
      </rPr>
      <t>매장별 상품판매현황</t>
    </r>
    <phoneticPr fontId="3" type="noConversion"/>
  </si>
  <si>
    <r>
      <t>003-</t>
    </r>
    <r>
      <rPr>
        <sz val="11"/>
        <color theme="1"/>
        <rFont val="맑은 고딕"/>
        <family val="3"/>
        <charset val="129"/>
      </rPr>
      <t>1-2345</t>
    </r>
    <phoneticPr fontId="3" type="noConversion"/>
  </si>
  <si>
    <r>
      <t>007-</t>
    </r>
    <r>
      <rPr>
        <sz val="11"/>
        <color theme="1"/>
        <rFont val="맑은 고딕"/>
        <family val="3"/>
        <charset val="129"/>
      </rPr>
      <t>2-2341</t>
    </r>
    <phoneticPr fontId="3" type="noConversion"/>
  </si>
  <si>
    <r>
      <t xml:space="preserve">[표3] </t>
    </r>
    <r>
      <rPr>
        <sz val="11"/>
        <color theme="1"/>
        <rFont val="맑은 고딕"/>
        <family val="3"/>
        <charset val="129"/>
      </rPr>
      <t>성적표</t>
    </r>
    <phoneticPr fontId="3" type="noConversion"/>
  </si>
  <si>
    <r>
      <t>[표4]</t>
    </r>
    <r>
      <rPr>
        <sz val="11"/>
        <color theme="1"/>
        <rFont val="맑은 고딕"/>
        <family val="3"/>
        <charset val="129"/>
      </rPr>
      <t xml:space="preserve"> 영어회화 평가 결과</t>
    </r>
    <phoneticPr fontId="3" type="noConversion"/>
  </si>
  <si>
    <r>
      <t xml:space="preserve">성명 </t>
    </r>
    <r>
      <rPr>
        <sz val="11"/>
        <color theme="1"/>
        <rFont val="맑은 고딕"/>
        <family val="3"/>
        <charset val="129"/>
      </rPr>
      <t>(3등)</t>
    </r>
    <phoneticPr fontId="3" type="noConversion"/>
  </si>
  <si>
    <r>
      <t>d</t>
    </r>
    <r>
      <rPr>
        <sz val="11"/>
        <color theme="1"/>
        <rFont val="맑은 고딕"/>
        <family val="3"/>
        <charset val="129"/>
      </rPr>
      <t>s-043</t>
    </r>
    <phoneticPr fontId="3" type="noConversion"/>
  </si>
  <si>
    <r>
      <t>d</t>
    </r>
    <r>
      <rPr>
        <sz val="11"/>
        <color theme="1"/>
        <rFont val="맑은 고딕"/>
        <family val="3"/>
        <charset val="129"/>
      </rPr>
      <t>s-078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</si>
  <si>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s-053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</si>
  <si>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s-068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</si>
  <si>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s-063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</si>
  <si>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s-048</t>
    </r>
    <phoneticPr fontId="3" type="noConversion"/>
  </si>
  <si>
    <r>
      <t>d</t>
    </r>
    <r>
      <rPr>
        <sz val="11"/>
        <color theme="1"/>
        <rFont val="맑은 고딕"/>
        <family val="3"/>
        <charset val="129"/>
      </rPr>
      <t>s-058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</si>
  <si>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s-073</t>
    </r>
    <r>
      <rPr>
        <sz val="11"/>
        <color theme="1"/>
        <rFont val="맑은 고딕"/>
        <family val="2"/>
        <charset val="129"/>
      </rPr>
      <t/>
    </r>
  </si>
  <si>
    <r>
      <t>d</t>
    </r>
    <r>
      <rPr>
        <sz val="11"/>
        <color theme="1"/>
        <rFont val="맑은 고딕"/>
        <family val="3"/>
        <charset val="129"/>
      </rPr>
      <t>s-083</t>
    </r>
    <r>
      <rPr>
        <sz val="11"/>
        <color theme="1"/>
        <rFont val="맑은 고딕"/>
        <family val="2"/>
        <charset val="129"/>
      </rPr>
      <t/>
    </r>
  </si>
  <si>
    <r>
      <t>[표5]</t>
    </r>
    <r>
      <rPr>
        <sz val="11"/>
        <color theme="1"/>
        <rFont val="맑은 고딕"/>
        <family val="3"/>
        <charset val="129"/>
      </rPr>
      <t xml:space="preserve"> 품목별 생산량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</si>
</sst>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.0%"/>
    <numFmt numFmtId="177" formatCode="0_ "/>
  </numFmts>
  <fonts count="9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24">
    <xf numFmtId="0" fontId="0" fillId="0" borderId="0" xfId="0">
      <alignment vertical="center"/>
    </xf>
    <xf numFmtId="0" fontId="5" fillId="0" borderId="0" xfId="1" applyFont="1"/>
    <xf numFmtId="0" fontId="7" fillId="0" borderId="0" xfId="1" applyFont="1"/>
    <xf numFmtId="0" fontId="7" fillId="0" borderId="0" xfId="1" applyFont="1" applyAlignment="1">
      <alignment horizontal="left"/>
    </xf>
    <xf numFmtId="0" fontId="7" fillId="0" borderId="1" xfId="1" applyFont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/>
    </xf>
    <xf numFmtId="0" fontId="7" fillId="2" borderId="1" xfId="1" applyFont="1" applyFill="1" applyBorder="1" applyAlignment="1">
      <alignment horizontal="center"/>
    </xf>
    <xf numFmtId="49" fontId="7" fillId="0" borderId="1" xfId="1" applyNumberFormat="1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176" fontId="7" fillId="0" borderId="1" xfId="3" applyNumberFormat="1" applyFont="1" applyBorder="1" applyAlignment="1">
      <alignment horizontal="center" vertical="center"/>
    </xf>
    <xf numFmtId="177" fontId="7" fillId="0" borderId="1" xfId="1" applyNumberFormat="1" applyFont="1" applyBorder="1" applyAlignment="1">
      <alignment horizontal="center"/>
    </xf>
    <xf numFmtId="41" fontId="7" fillId="0" borderId="1" xfId="1" applyNumberFormat="1" applyFont="1" applyBorder="1"/>
    <xf numFmtId="41" fontId="7" fillId="0" borderId="1" xfId="3" applyNumberFormat="1" applyFont="1" applyBorder="1" applyAlignment="1">
      <alignment horizontal="center"/>
    </xf>
    <xf numFmtId="41" fontId="7" fillId="0" borderId="1" xfId="1" applyNumberFormat="1" applyFont="1" applyBorder="1" applyAlignment="1">
      <alignment horizontal="center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horizontal="center"/>
    </xf>
    <xf numFmtId="0" fontId="7" fillId="0" borderId="1" xfId="1" applyFont="1" applyFill="1" applyBorder="1" applyAlignment="1">
      <alignment horizontal="center"/>
    </xf>
    <xf numFmtId="0" fontId="7" fillId="0" borderId="1" xfId="1" applyFont="1" applyBorder="1"/>
    <xf numFmtId="0" fontId="7" fillId="0" borderId="0" xfId="1" applyFont="1" applyAlignment="1">
      <alignment vertical="center"/>
    </xf>
    <xf numFmtId="0" fontId="8" fillId="0" borderId="1" xfId="4" applyFont="1" applyFill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0" fontId="8" fillId="2" borderId="1" xfId="4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</cellXfs>
  <cellStyles count="5">
    <cellStyle name="백분율 2" xfId="3"/>
    <cellStyle name="쉼표 [0] 2" xfId="2"/>
    <cellStyle name="표준" xfId="0" builtinId="0"/>
    <cellStyle name="표준 2" xfId="1"/>
    <cellStyle name="표준_Sheet9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tabSelected="1" topLeftCell="A7" zoomScale="95" workbookViewId="0">
      <selection activeCell="D31" sqref="D31"/>
    </sheetView>
  </sheetViews>
  <sheetFormatPr defaultRowHeight="16.5" x14ac:dyDescent="0.3"/>
  <cols>
    <col min="1" max="1" width="12.75" style="2" customWidth="1"/>
    <col min="2" max="2" width="10.25" style="2" bestFit="1" customWidth="1"/>
    <col min="3" max="3" width="15.375" style="2" bestFit="1" customWidth="1"/>
    <col min="4" max="4" width="10.25" style="2" bestFit="1" customWidth="1"/>
    <col min="5" max="5" width="3" style="2" customWidth="1"/>
    <col min="6" max="6" width="9" style="2"/>
    <col min="7" max="7" width="13" style="2" customWidth="1"/>
    <col min="8" max="8" width="11.375" style="2" customWidth="1"/>
    <col min="9" max="9" width="12.875" style="2" customWidth="1"/>
    <col min="10" max="10" width="14.125" style="2" customWidth="1"/>
    <col min="11" max="16384" width="9" style="2"/>
  </cols>
  <sheetData>
    <row r="1" spans="1:10" x14ac:dyDescent="0.3">
      <c r="A1" s="1" t="s">
        <v>73</v>
      </c>
      <c r="B1" s="1"/>
      <c r="C1" s="1"/>
      <c r="D1" s="1"/>
      <c r="F1" s="1" t="s">
        <v>74</v>
      </c>
      <c r="G1" s="3"/>
    </row>
    <row r="2" spans="1:10" x14ac:dyDescent="0.3">
      <c r="A2" s="4" t="s">
        <v>0</v>
      </c>
      <c r="B2" s="4" t="s">
        <v>1</v>
      </c>
      <c r="C2" s="4" t="s">
        <v>2</v>
      </c>
      <c r="D2" s="5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7" t="s">
        <v>8</v>
      </c>
    </row>
    <row r="3" spans="1:10" x14ac:dyDescent="0.3">
      <c r="A3" s="8" t="s">
        <v>9</v>
      </c>
      <c r="B3" s="4" t="s">
        <v>10</v>
      </c>
      <c r="C3" s="9">
        <v>15000000</v>
      </c>
      <c r="D3" s="10">
        <f>VLOOKUP(MID(A3,5,1),$A$11:$C$14,3,FALSE)</f>
        <v>4.2000000000000003E-2</v>
      </c>
      <c r="F3" s="6" t="s">
        <v>11</v>
      </c>
      <c r="G3" s="6" t="s">
        <v>12</v>
      </c>
      <c r="H3" s="11">
        <v>33</v>
      </c>
      <c r="I3" s="12">
        <v>5</v>
      </c>
      <c r="J3" s="13">
        <f>HLOOKUP(H3,$F$12:$J$14,2,FALSE)*I3</f>
        <v>32500000</v>
      </c>
    </row>
    <row r="4" spans="1:10" x14ac:dyDescent="0.3">
      <c r="A4" s="8" t="s">
        <v>13</v>
      </c>
      <c r="B4" s="4" t="s">
        <v>14</v>
      </c>
      <c r="C4" s="9">
        <v>5500000</v>
      </c>
      <c r="D4" s="10">
        <f t="shared" ref="D4:D9" si="0">VLOOKUP(MID(A4,5,1),$A$11:$C$14,3,FALSE)</f>
        <v>0.03</v>
      </c>
      <c r="F4" s="6" t="s">
        <v>11</v>
      </c>
      <c r="G4" s="6" t="s">
        <v>15</v>
      </c>
      <c r="H4" s="11">
        <v>11</v>
      </c>
      <c r="I4" s="12">
        <v>12</v>
      </c>
      <c r="J4" s="13">
        <f t="shared" ref="J4:J9" si="1">HLOOKUP(H4,$F$12:$J$14,2,FALSE)*I4</f>
        <v>18000000</v>
      </c>
    </row>
    <row r="5" spans="1:10" x14ac:dyDescent="0.3">
      <c r="A5" s="8" t="s">
        <v>75</v>
      </c>
      <c r="B5" s="4" t="s">
        <v>16</v>
      </c>
      <c r="C5" s="9">
        <v>6400000</v>
      </c>
      <c r="D5" s="10">
        <f t="shared" si="0"/>
        <v>2.1999999999999999E-2</v>
      </c>
      <c r="F5" s="6" t="s">
        <v>17</v>
      </c>
      <c r="G5" s="6" t="s">
        <v>18</v>
      </c>
      <c r="H5" s="11">
        <v>22</v>
      </c>
      <c r="I5" s="12">
        <v>23</v>
      </c>
      <c r="J5" s="13">
        <f t="shared" si="1"/>
        <v>10350000</v>
      </c>
    </row>
    <row r="6" spans="1:10" x14ac:dyDescent="0.3">
      <c r="A6" s="8" t="s">
        <v>19</v>
      </c>
      <c r="B6" s="4" t="s">
        <v>20</v>
      </c>
      <c r="C6" s="9">
        <v>20000000</v>
      </c>
      <c r="D6" s="10">
        <f t="shared" si="0"/>
        <v>2.1999999999999999E-2</v>
      </c>
      <c r="F6" s="6" t="s">
        <v>17</v>
      </c>
      <c r="G6" s="6" t="s">
        <v>21</v>
      </c>
      <c r="H6" s="11">
        <v>33</v>
      </c>
      <c r="I6" s="12">
        <v>3</v>
      </c>
      <c r="J6" s="13">
        <f t="shared" si="1"/>
        <v>19500000</v>
      </c>
    </row>
    <row r="7" spans="1:10" x14ac:dyDescent="0.3">
      <c r="A7" s="8" t="s">
        <v>22</v>
      </c>
      <c r="B7" s="4" t="s">
        <v>23</v>
      </c>
      <c r="C7" s="9">
        <v>10000000</v>
      </c>
      <c r="D7" s="10">
        <f t="shared" si="0"/>
        <v>0.03</v>
      </c>
      <c r="F7" s="6" t="s">
        <v>17</v>
      </c>
      <c r="G7" s="6" t="s">
        <v>24</v>
      </c>
      <c r="H7" s="11">
        <v>44</v>
      </c>
      <c r="I7" s="12">
        <v>16</v>
      </c>
      <c r="J7" s="13">
        <f t="shared" si="1"/>
        <v>19200000</v>
      </c>
    </row>
    <row r="8" spans="1:10" x14ac:dyDescent="0.3">
      <c r="A8" s="8" t="s">
        <v>25</v>
      </c>
      <c r="B8" s="4" t="s">
        <v>26</v>
      </c>
      <c r="C8" s="9">
        <v>90000000</v>
      </c>
      <c r="D8" s="10">
        <f t="shared" si="0"/>
        <v>4.2000000000000003E-2</v>
      </c>
      <c r="F8" s="6" t="s">
        <v>27</v>
      </c>
      <c r="G8" s="6" t="s">
        <v>28</v>
      </c>
      <c r="H8" s="11">
        <v>22</v>
      </c>
      <c r="I8" s="12">
        <v>19</v>
      </c>
      <c r="J8" s="13">
        <f t="shared" si="1"/>
        <v>8550000</v>
      </c>
    </row>
    <row r="9" spans="1:10" x14ac:dyDescent="0.3">
      <c r="A9" s="8" t="s">
        <v>76</v>
      </c>
      <c r="B9" s="4" t="s">
        <v>29</v>
      </c>
      <c r="C9" s="9">
        <v>4500000</v>
      </c>
      <c r="D9" s="10">
        <f t="shared" si="0"/>
        <v>0.03</v>
      </c>
      <c r="F9" s="6" t="s">
        <v>27</v>
      </c>
      <c r="G9" s="6" t="s">
        <v>30</v>
      </c>
      <c r="H9" s="11">
        <v>11</v>
      </c>
      <c r="I9" s="12">
        <v>8</v>
      </c>
      <c r="J9" s="13">
        <f t="shared" si="1"/>
        <v>12000000</v>
      </c>
    </row>
    <row r="11" spans="1:10" x14ac:dyDescent="0.3">
      <c r="A11" s="4" t="s">
        <v>31</v>
      </c>
      <c r="B11" s="4" t="s">
        <v>32</v>
      </c>
      <c r="C11" s="4" t="s">
        <v>3</v>
      </c>
      <c r="F11" s="2" t="s">
        <v>33</v>
      </c>
    </row>
    <row r="12" spans="1:10" x14ac:dyDescent="0.3">
      <c r="A12" s="8" t="s">
        <v>34</v>
      </c>
      <c r="B12" s="4" t="s">
        <v>35</v>
      </c>
      <c r="C12" s="10">
        <v>2.1999999999999999E-2</v>
      </c>
      <c r="F12" s="6" t="s">
        <v>6</v>
      </c>
      <c r="G12" s="6">
        <v>11</v>
      </c>
      <c r="H12" s="6">
        <v>22</v>
      </c>
      <c r="I12" s="6">
        <v>33</v>
      </c>
      <c r="J12" s="6">
        <v>44</v>
      </c>
    </row>
    <row r="13" spans="1:10" x14ac:dyDescent="0.3">
      <c r="A13" s="8" t="s">
        <v>36</v>
      </c>
      <c r="B13" s="4" t="s">
        <v>37</v>
      </c>
      <c r="C13" s="10">
        <v>0.03</v>
      </c>
      <c r="F13" s="6" t="s">
        <v>38</v>
      </c>
      <c r="G13" s="13">
        <v>1500000</v>
      </c>
      <c r="H13" s="13">
        <v>450000</v>
      </c>
      <c r="I13" s="13">
        <v>6500000</v>
      </c>
      <c r="J13" s="13">
        <v>1200000</v>
      </c>
    </row>
    <row r="14" spans="1:10" x14ac:dyDescent="0.3">
      <c r="A14" s="8" t="s">
        <v>39</v>
      </c>
      <c r="B14" s="4" t="s">
        <v>40</v>
      </c>
      <c r="C14" s="10">
        <v>4.2000000000000003E-2</v>
      </c>
      <c r="F14" s="6" t="s">
        <v>41</v>
      </c>
      <c r="G14" s="14">
        <v>1275000</v>
      </c>
      <c r="H14" s="14">
        <v>382500</v>
      </c>
      <c r="I14" s="14">
        <v>5525000</v>
      </c>
      <c r="J14" s="14">
        <v>1020000</v>
      </c>
    </row>
    <row r="16" spans="1:10" x14ac:dyDescent="0.3">
      <c r="A16" s="1" t="s">
        <v>77</v>
      </c>
      <c r="B16" s="15"/>
      <c r="F16" s="1" t="s">
        <v>78</v>
      </c>
      <c r="G16" s="3"/>
      <c r="H16" s="16"/>
    </row>
    <row r="17" spans="1:9" x14ac:dyDescent="0.3">
      <c r="A17" s="4" t="s">
        <v>42</v>
      </c>
      <c r="B17" s="4" t="s">
        <v>43</v>
      </c>
      <c r="C17" s="4" t="s">
        <v>44</v>
      </c>
      <c r="D17" s="5" t="s">
        <v>45</v>
      </c>
      <c r="F17" s="17" t="s">
        <v>46</v>
      </c>
      <c r="G17" s="17" t="s">
        <v>44</v>
      </c>
      <c r="H17" s="17" t="s">
        <v>42</v>
      </c>
      <c r="I17" s="7" t="s">
        <v>79</v>
      </c>
    </row>
    <row r="18" spans="1:9" x14ac:dyDescent="0.3">
      <c r="A18" s="4" t="s">
        <v>47</v>
      </c>
      <c r="B18" s="4" t="s">
        <v>48</v>
      </c>
      <c r="C18" s="4">
        <v>89</v>
      </c>
      <c r="D18" s="4" t="str">
        <f>CHOOSE(RANK(C18,$C$18:$C$24),"최우수","우수","보통","노력","노력","노력","노력")</f>
        <v>노력</v>
      </c>
      <c r="F18" s="6" t="s">
        <v>80</v>
      </c>
      <c r="G18" s="6">
        <v>85</v>
      </c>
      <c r="H18" s="6" t="s">
        <v>49</v>
      </c>
      <c r="I18" s="4" t="str">
        <f>VLOOKUP(LARGE(G18:G26,3),$G$17:$H$26,2,FALSE)</f>
        <v>도지영</v>
      </c>
    </row>
    <row r="19" spans="1:9" x14ac:dyDescent="0.3">
      <c r="A19" s="4" t="s">
        <v>50</v>
      </c>
      <c r="B19" s="4" t="s">
        <v>48</v>
      </c>
      <c r="C19" s="4">
        <v>94</v>
      </c>
      <c r="D19" s="4" t="str">
        <f t="shared" ref="D19:D24" si="2">CHOOSE(RANK(C19,$C$18:$C$24),"최우수","우수","보통","노력","노력","노력","노력")</f>
        <v>보통</v>
      </c>
      <c r="F19" s="6" t="s">
        <v>81</v>
      </c>
      <c r="G19" s="6">
        <v>56</v>
      </c>
      <c r="H19" s="6" t="s">
        <v>51</v>
      </c>
    </row>
    <row r="20" spans="1:9" x14ac:dyDescent="0.3">
      <c r="A20" s="4" t="s">
        <v>52</v>
      </c>
      <c r="B20" s="4" t="s">
        <v>53</v>
      </c>
      <c r="C20" s="4">
        <v>83</v>
      </c>
      <c r="D20" s="4" t="str">
        <f t="shared" si="2"/>
        <v>노력</v>
      </c>
      <c r="F20" s="6" t="s">
        <v>82</v>
      </c>
      <c r="G20" s="6">
        <v>90</v>
      </c>
      <c r="H20" s="6" t="s">
        <v>54</v>
      </c>
    </row>
    <row r="21" spans="1:9" x14ac:dyDescent="0.3">
      <c r="A21" s="4" t="s">
        <v>55</v>
      </c>
      <c r="B21" s="4" t="s">
        <v>53</v>
      </c>
      <c r="C21" s="4">
        <v>94</v>
      </c>
      <c r="D21" s="4" t="str">
        <f t="shared" si="2"/>
        <v>보통</v>
      </c>
      <c r="F21" s="6" t="s">
        <v>83</v>
      </c>
      <c r="G21" s="6">
        <v>78</v>
      </c>
      <c r="H21" s="6" t="s">
        <v>56</v>
      </c>
    </row>
    <row r="22" spans="1:9" x14ac:dyDescent="0.3">
      <c r="A22" s="4" t="s">
        <v>57</v>
      </c>
      <c r="B22" s="4" t="s">
        <v>48</v>
      </c>
      <c r="C22" s="4">
        <v>95</v>
      </c>
      <c r="D22" s="4" t="str">
        <f t="shared" si="2"/>
        <v>우수</v>
      </c>
      <c r="F22" s="6" t="s">
        <v>84</v>
      </c>
      <c r="G22" s="6">
        <v>53</v>
      </c>
      <c r="H22" s="6" t="s">
        <v>58</v>
      </c>
    </row>
    <row r="23" spans="1:9" x14ac:dyDescent="0.3">
      <c r="A23" s="4" t="s">
        <v>59</v>
      </c>
      <c r="B23" s="4" t="s">
        <v>53</v>
      </c>
      <c r="C23" s="4">
        <v>96</v>
      </c>
      <c r="D23" s="4" t="str">
        <f t="shared" si="2"/>
        <v>최우수</v>
      </c>
      <c r="F23" s="6" t="s">
        <v>85</v>
      </c>
      <c r="G23" s="6">
        <v>45</v>
      </c>
      <c r="H23" s="6" t="s">
        <v>60</v>
      </c>
    </row>
    <row r="24" spans="1:9" x14ac:dyDescent="0.3">
      <c r="A24" s="4" t="s">
        <v>61</v>
      </c>
      <c r="B24" s="4" t="s">
        <v>48</v>
      </c>
      <c r="C24" s="4">
        <v>79</v>
      </c>
      <c r="D24" s="4" t="str">
        <f t="shared" si="2"/>
        <v>노력</v>
      </c>
      <c r="F24" s="6" t="s">
        <v>86</v>
      </c>
      <c r="G24" s="6">
        <v>98</v>
      </c>
      <c r="H24" s="6" t="s">
        <v>62</v>
      </c>
    </row>
    <row r="25" spans="1:9" x14ac:dyDescent="0.3">
      <c r="F25" s="6" t="s">
        <v>87</v>
      </c>
      <c r="G25" s="6">
        <v>86</v>
      </c>
      <c r="H25" s="6" t="s">
        <v>63</v>
      </c>
    </row>
    <row r="26" spans="1:9" x14ac:dyDescent="0.3">
      <c r="A26" s="23" t="s">
        <v>64</v>
      </c>
      <c r="B26" s="23"/>
      <c r="C26" s="18">
        <f>SUMIF(D18:D24,"노력",C18:C24)</f>
        <v>251</v>
      </c>
      <c r="F26" s="6" t="s">
        <v>88</v>
      </c>
      <c r="G26" s="6">
        <v>100</v>
      </c>
      <c r="H26" s="6" t="s">
        <v>65</v>
      </c>
    </row>
    <row r="28" spans="1:9" x14ac:dyDescent="0.3">
      <c r="A28" s="1" t="s">
        <v>89</v>
      </c>
      <c r="B28" s="19"/>
      <c r="C28" s="19"/>
      <c r="D28" s="19"/>
    </row>
    <row r="29" spans="1:9" x14ac:dyDescent="0.3">
      <c r="A29" s="20" t="s">
        <v>66</v>
      </c>
      <c r="B29" s="20" t="s">
        <v>67</v>
      </c>
      <c r="C29" s="21" t="s">
        <v>68</v>
      </c>
      <c r="D29" s="22" t="s">
        <v>69</v>
      </c>
    </row>
    <row r="30" spans="1:9" x14ac:dyDescent="0.3">
      <c r="A30" s="4" t="s">
        <v>70</v>
      </c>
      <c r="B30" s="4">
        <v>250</v>
      </c>
      <c r="C30" s="4">
        <v>24</v>
      </c>
      <c r="D30" s="4">
        <f>MOD(B30,C30)</f>
        <v>10</v>
      </c>
    </row>
    <row r="31" spans="1:9" x14ac:dyDescent="0.3">
      <c r="A31" s="4" t="s">
        <v>71</v>
      </c>
      <c r="B31" s="4">
        <v>170</v>
      </c>
      <c r="C31" s="4">
        <v>35</v>
      </c>
      <c r="D31" s="4">
        <f t="shared" ref="D31:D32" si="3">MOD(B31,C31)</f>
        <v>30</v>
      </c>
    </row>
    <row r="32" spans="1:9" x14ac:dyDescent="0.3">
      <c r="A32" s="4" t="s">
        <v>72</v>
      </c>
      <c r="B32" s="4">
        <v>330</v>
      </c>
      <c r="C32" s="4">
        <v>30</v>
      </c>
      <c r="D32" s="4">
        <f t="shared" si="3"/>
        <v>0</v>
      </c>
    </row>
  </sheetData>
  <mergeCells count="1">
    <mergeCell ref="A26:B26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12:A1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2011-06-14T09:21:00Z</dcterms:created>
  <dcterms:modified xsi:type="dcterms:W3CDTF">2018-11-15T07:28:29Z</dcterms:modified>
</cp:coreProperties>
</file>